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Fontes\Downloads\Netz - Calil\Claude\Extração Fundos.NET\Documentos cópia\"/>
    </mc:Choice>
  </mc:AlternateContent>
  <xr:revisionPtr revIDLastSave="0" documentId="13_ncr:1_{117DFFDE-7440-41F3-882D-FF65C7DBED8A}" xr6:coauthVersionLast="47" xr6:coauthVersionMax="47" xr10:uidLastSave="{00000000-0000-0000-0000-000000000000}"/>
  <bookViews>
    <workbookView xWindow="-28920" yWindow="-990" windowWidth="29040" windowHeight="15720" xr2:uid="{96C18C45-4990-40AC-8005-0C60A1B9A8F6}"/>
  </bookViews>
  <sheets>
    <sheet name="ANÁLISE FIDC" sheetId="1" r:id="rId1"/>
    <sheet name="CD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E39" i="1"/>
  <c r="E40" i="1" s="1"/>
  <c r="F39" i="1"/>
  <c r="G39" i="1"/>
  <c r="G40" i="1" s="1"/>
  <c r="H39" i="1"/>
  <c r="H40" i="1" s="1"/>
  <c r="I39" i="1"/>
  <c r="J39" i="1"/>
  <c r="J40" i="1" s="1"/>
  <c r="K39" i="1"/>
  <c r="L39" i="1"/>
  <c r="M39" i="1"/>
  <c r="M40" i="1" s="1"/>
  <c r="N39" i="1"/>
  <c r="O39" i="1"/>
  <c r="P39" i="1"/>
  <c r="Q39" i="1"/>
  <c r="R39" i="1"/>
  <c r="S39" i="1"/>
  <c r="T39" i="1"/>
  <c r="T40" i="1" s="1"/>
  <c r="U39" i="1"/>
  <c r="U40" i="1" s="1"/>
  <c r="V39" i="1"/>
  <c r="W39" i="1"/>
  <c r="X39" i="1"/>
  <c r="Y39" i="1"/>
  <c r="Z39" i="1"/>
  <c r="AA39" i="1"/>
  <c r="AB39" i="1"/>
  <c r="AB40" i="1" s="1"/>
  <c r="AC39" i="1"/>
  <c r="AD39" i="1"/>
  <c r="AE39" i="1"/>
  <c r="AE40" i="1" s="1"/>
  <c r="AF39" i="1"/>
  <c r="AG39" i="1"/>
  <c r="AH39" i="1"/>
  <c r="F46" i="1"/>
  <c r="M44" i="1"/>
  <c r="D21" i="1"/>
  <c r="D31" i="1"/>
  <c r="J27" i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AH18" i="1"/>
  <c r="AG18" i="1" s="1"/>
  <c r="AF18" i="1" s="1"/>
  <c r="AE18" i="1" s="1"/>
  <c r="AD18" i="1" s="1"/>
  <c r="AC18" i="1" s="1"/>
  <c r="AB18" i="1" s="1"/>
  <c r="AA18" i="1" s="1"/>
  <c r="Z18" i="1" s="1"/>
  <c r="Y18" i="1" s="1"/>
  <c r="X18" i="1" s="1"/>
  <c r="W18" i="1" s="1"/>
  <c r="V18" i="1" s="1"/>
  <c r="U18" i="1" s="1"/>
  <c r="T18" i="1" s="1"/>
  <c r="S18" i="1" s="1"/>
  <c r="R18" i="1" s="1"/>
  <c r="Q18" i="1" s="1"/>
  <c r="P18" i="1" s="1"/>
  <c r="O18" i="1" s="1"/>
  <c r="N18" i="1" s="1"/>
  <c r="M18" i="1" s="1"/>
  <c r="L18" i="1" s="1"/>
  <c r="K18" i="1" s="1"/>
  <c r="I18" i="1" s="1"/>
  <c r="H18" i="1" s="1"/>
  <c r="G18" i="1" s="1"/>
  <c r="F18" i="1" s="1"/>
  <c r="E18" i="1" s="1"/>
  <c r="D18" i="1" s="1"/>
  <c r="D26" i="1" s="1"/>
  <c r="D27" i="1" s="1"/>
  <c r="D29" i="1"/>
  <c r="Z40" i="1" l="1"/>
  <c r="S40" i="1"/>
  <c r="Q40" i="1"/>
  <c r="O40" i="1"/>
  <c r="N40" i="1"/>
  <c r="I40" i="1"/>
  <c r="AH40" i="1"/>
  <c r="AG40" i="1"/>
  <c r="AF40" i="1"/>
  <c r="AD40" i="1"/>
  <c r="AC40" i="1"/>
  <c r="AA40" i="1"/>
  <c r="Y40" i="1"/>
  <c r="X40" i="1"/>
  <c r="W40" i="1"/>
  <c r="V40" i="1"/>
  <c r="R40" i="1"/>
  <c r="P40" i="1"/>
  <c r="L40" i="1"/>
  <c r="K40" i="1"/>
  <c r="F40" i="1"/>
  <c r="Z26" i="1"/>
  <c r="N26" i="1"/>
  <c r="Y26" i="1"/>
  <c r="M26" i="1"/>
  <c r="X26" i="1"/>
  <c r="L26" i="1"/>
  <c r="W26" i="1"/>
  <c r="K26" i="1"/>
  <c r="V26" i="1"/>
  <c r="S26" i="1"/>
  <c r="AG26" i="1"/>
  <c r="U26" i="1"/>
  <c r="I26" i="1"/>
  <c r="AF26" i="1"/>
  <c r="T26" i="1"/>
  <c r="H26" i="1"/>
  <c r="AE26" i="1"/>
  <c r="G26" i="1"/>
  <c r="AD26" i="1"/>
  <c r="R26" i="1"/>
  <c r="F26" i="1"/>
  <c r="AC26" i="1"/>
  <c r="Q26" i="1"/>
  <c r="AB26" i="1"/>
  <c r="P26" i="1"/>
  <c r="AH26" i="1"/>
  <c r="E26" i="1"/>
  <c r="AA26" i="1"/>
  <c r="O26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L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K48" i="1"/>
  <c r="K46" i="1"/>
  <c r="K44" i="1"/>
  <c r="K42" i="1"/>
  <c r="I44" i="1"/>
  <c r="I42" i="1"/>
  <c r="I46" i="1"/>
  <c r="F48" i="1"/>
  <c r="G48" i="1"/>
  <c r="H48" i="1"/>
  <c r="I48" i="1"/>
  <c r="E42" i="1"/>
  <c r="F42" i="1"/>
  <c r="G42" i="1"/>
  <c r="H42" i="1"/>
  <c r="E44" i="1"/>
  <c r="F44" i="1"/>
  <c r="G44" i="1"/>
  <c r="H44" i="1"/>
  <c r="E46" i="1"/>
  <c r="G46" i="1"/>
  <c r="H46" i="1"/>
  <c r="E48" i="1"/>
  <c r="D48" i="1"/>
  <c r="D46" i="1"/>
  <c r="D44" i="1"/>
  <c r="AG21" i="1"/>
  <c r="AG24" i="1" s="1"/>
  <c r="AH21" i="1"/>
  <c r="AH24" i="1" s="1"/>
  <c r="F21" i="1"/>
  <c r="F24" i="1" s="1"/>
  <c r="G21" i="1"/>
  <c r="G24" i="1" s="1"/>
  <c r="H21" i="1"/>
  <c r="H24" i="1" s="1"/>
  <c r="I21" i="1"/>
  <c r="I24" i="1" s="1"/>
  <c r="K21" i="1"/>
  <c r="K24" i="1" s="1"/>
  <c r="L21" i="1"/>
  <c r="L24" i="1" s="1"/>
  <c r="M21" i="1"/>
  <c r="M24" i="1" s="1"/>
  <c r="N21" i="1"/>
  <c r="N24" i="1" s="1"/>
  <c r="O21" i="1"/>
  <c r="O24" i="1" s="1"/>
  <c r="P21" i="1"/>
  <c r="P24" i="1" s="1"/>
  <c r="Q21" i="1"/>
  <c r="Q24" i="1" s="1"/>
  <c r="R21" i="1"/>
  <c r="R24" i="1" s="1"/>
  <c r="S21" i="1"/>
  <c r="S24" i="1" s="1"/>
  <c r="T21" i="1"/>
  <c r="T24" i="1" s="1"/>
  <c r="U21" i="1"/>
  <c r="U24" i="1" s="1"/>
  <c r="V21" i="1"/>
  <c r="V24" i="1" s="1"/>
  <c r="W21" i="1"/>
  <c r="W24" i="1" s="1"/>
  <c r="X21" i="1"/>
  <c r="X24" i="1" s="1"/>
  <c r="Y21" i="1"/>
  <c r="Y24" i="1" s="1"/>
  <c r="Z21" i="1"/>
  <c r="Z24" i="1" s="1"/>
  <c r="AA21" i="1"/>
  <c r="AA24" i="1" s="1"/>
  <c r="AB21" i="1"/>
  <c r="AB24" i="1" s="1"/>
  <c r="AC21" i="1"/>
  <c r="AC24" i="1" s="1"/>
  <c r="AD21" i="1"/>
  <c r="AD24" i="1" s="1"/>
  <c r="AE21" i="1"/>
  <c r="AE24" i="1" s="1"/>
  <c r="AF21" i="1"/>
  <c r="AF24" i="1" s="1"/>
  <c r="E21" i="1"/>
  <c r="E24" i="1" s="1"/>
  <c r="E25" i="1" s="1"/>
  <c r="D24" i="1"/>
  <c r="E30" i="1" l="1"/>
  <c r="F30" i="1" s="1"/>
  <c r="G30" i="1" s="1"/>
  <c r="H30" i="1" s="1"/>
  <c r="I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E27" i="1"/>
  <c r="K25" i="1"/>
  <c r="AD25" i="1"/>
  <c r="AD27" i="1" s="1"/>
  <c r="R25" i="1"/>
  <c r="R27" i="1" s="1"/>
  <c r="AC25" i="1"/>
  <c r="AC27" i="1" s="1"/>
  <c r="Q25" i="1"/>
  <c r="Q27" i="1" s="1"/>
  <c r="Z25" i="1"/>
  <c r="Z27" i="1" s="1"/>
  <c r="N25" i="1"/>
  <c r="N27" i="1" s="1"/>
  <c r="AG25" i="1"/>
  <c r="AG27" i="1" s="1"/>
  <c r="AA25" i="1"/>
  <c r="AA27" i="1" s="1"/>
  <c r="X25" i="1"/>
  <c r="X27" i="1" s="1"/>
  <c r="L25" i="1"/>
  <c r="L27" i="1" s="1"/>
  <c r="V25" i="1"/>
  <c r="V27" i="1" s="1"/>
  <c r="I25" i="1"/>
  <c r="I27" i="1" s="1"/>
  <c r="U25" i="1"/>
  <c r="U27" i="1" s="1"/>
  <c r="H25" i="1"/>
  <c r="H27" i="1" s="1"/>
  <c r="AE25" i="1"/>
  <c r="AE27" i="1" s="1"/>
  <c r="S25" i="1"/>
  <c r="S27" i="1" s="1"/>
  <c r="AH25" i="1"/>
  <c r="AH27" i="1" s="1"/>
  <c r="AF25" i="1"/>
  <c r="AF27" i="1" s="1"/>
  <c r="T25" i="1"/>
  <c r="T27" i="1" s="1"/>
  <c r="G25" i="1"/>
  <c r="G27" i="1" s="1"/>
  <c r="AB25" i="1"/>
  <c r="AB27" i="1" s="1"/>
  <c r="P25" i="1"/>
  <c r="P27" i="1" s="1"/>
  <c r="O25" i="1"/>
  <c r="O27" i="1" s="1"/>
  <c r="W25" i="1"/>
  <c r="W27" i="1" s="1"/>
  <c r="F25" i="1"/>
  <c r="F27" i="1" s="1"/>
  <c r="Y25" i="1"/>
  <c r="Y27" i="1" s="1"/>
  <c r="M25" i="1"/>
  <c r="M27" i="1" s="1"/>
  <c r="D37" i="1"/>
  <c r="E37" i="1" s="1"/>
  <c r="F37" i="1" s="1"/>
  <c r="G37" i="1" s="1"/>
  <c r="H37" i="1" s="1"/>
  <c r="I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E28" i="1" l="1"/>
  <c r="F28" i="1" s="1"/>
  <c r="K27" i="1"/>
  <c r="E29" i="1" l="1"/>
  <c r="E31" i="1" s="1"/>
  <c r="F29" i="1"/>
  <c r="F31" i="1" s="1"/>
  <c r="G28" i="1"/>
  <c r="G29" i="1" l="1"/>
  <c r="G31" i="1" s="1"/>
  <c r="H28" i="1"/>
  <c r="H29" i="1" l="1"/>
  <c r="H31" i="1" s="1"/>
  <c r="I28" i="1"/>
  <c r="I29" i="1" l="1"/>
  <c r="I31" i="1" s="1"/>
  <c r="K28" i="1"/>
  <c r="K29" i="1" l="1"/>
  <c r="K31" i="1" s="1"/>
  <c r="L28" i="1"/>
  <c r="M28" i="1" l="1"/>
  <c r="L29" i="1"/>
  <c r="L31" i="1" s="1"/>
  <c r="N28" i="1" l="1"/>
  <c r="M29" i="1"/>
  <c r="M31" i="1" s="1"/>
  <c r="N29" i="1" l="1"/>
  <c r="N31" i="1" s="1"/>
  <c r="O28" i="1"/>
  <c r="O29" i="1" l="1"/>
  <c r="O31" i="1" s="1"/>
  <c r="P28" i="1"/>
  <c r="Q28" i="1" l="1"/>
  <c r="P29" i="1"/>
  <c r="P31" i="1" s="1"/>
  <c r="R28" i="1" l="1"/>
  <c r="Q29" i="1"/>
  <c r="Q31" i="1" s="1"/>
  <c r="R29" i="1" l="1"/>
  <c r="R31" i="1" s="1"/>
  <c r="S28" i="1"/>
  <c r="T28" i="1" l="1"/>
  <c r="S29" i="1"/>
  <c r="S31" i="1" s="1"/>
  <c r="T29" i="1" l="1"/>
  <c r="T31" i="1" s="1"/>
  <c r="U28" i="1"/>
  <c r="V28" i="1" l="1"/>
  <c r="U29" i="1"/>
  <c r="U31" i="1" s="1"/>
  <c r="W28" i="1" l="1"/>
  <c r="V29" i="1"/>
  <c r="V31" i="1" s="1"/>
  <c r="X28" i="1" l="1"/>
  <c r="W29" i="1"/>
  <c r="W31" i="1" s="1"/>
  <c r="Y28" i="1" l="1"/>
  <c r="X29" i="1"/>
  <c r="X31" i="1" s="1"/>
  <c r="Y29" i="1" l="1"/>
  <c r="Y31" i="1" s="1"/>
  <c r="Z28" i="1"/>
  <c r="Z29" i="1" l="1"/>
  <c r="Z31" i="1" s="1"/>
  <c r="AA28" i="1"/>
  <c r="AA29" i="1" l="1"/>
  <c r="AA31" i="1" s="1"/>
  <c r="AB28" i="1"/>
  <c r="AC28" i="1" l="1"/>
  <c r="AB29" i="1"/>
  <c r="AB31" i="1" s="1"/>
  <c r="AD28" i="1" l="1"/>
  <c r="AC29" i="1"/>
  <c r="AC31" i="1" s="1"/>
  <c r="AE28" i="1" l="1"/>
  <c r="AD29" i="1"/>
  <c r="AD31" i="1" s="1"/>
  <c r="AF28" i="1" l="1"/>
  <c r="AE29" i="1"/>
  <c r="AE31" i="1" s="1"/>
  <c r="AG28" i="1" l="1"/>
  <c r="AF29" i="1"/>
  <c r="AF31" i="1" s="1"/>
  <c r="AH28" i="1" l="1"/>
  <c r="AH29" i="1" s="1"/>
  <c r="AH31" i="1" s="1"/>
  <c r="AG29" i="1"/>
  <c r="AG31" i="1" s="1"/>
  <c r="D42" i="1" l="1"/>
  <c r="D4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<sst xmlns="http://schemas.openxmlformats.org/spreadsheetml/2006/main" count="45" uniqueCount="34">
  <si>
    <t>CARTEIRA DE DIREITOS CREDITÓRIOS</t>
  </si>
  <si>
    <t>Patrimonio Liquido</t>
  </si>
  <si>
    <t xml:space="preserve">Valor da cota </t>
  </si>
  <si>
    <t xml:space="preserve">Aporte </t>
  </si>
  <si>
    <t xml:space="preserve">Resgate </t>
  </si>
  <si>
    <t>Patrimonio Liquido Ajust.</t>
  </si>
  <si>
    <t xml:space="preserve">Qtd de cotas </t>
  </si>
  <si>
    <t>Rentabilidade Ajustada</t>
  </si>
  <si>
    <t>DATA</t>
  </si>
  <si>
    <t>Analista:</t>
  </si>
  <si>
    <t>FIDC:</t>
  </si>
  <si>
    <t>CNPJ:</t>
  </si>
  <si>
    <t>Rendimento Acumulado</t>
  </si>
  <si>
    <t>.</t>
  </si>
  <si>
    <t>Pat. Líquido</t>
  </si>
  <si>
    <t>Adimplentes</t>
  </si>
  <si>
    <t>Inadimplentes</t>
  </si>
  <si>
    <t>Recompras</t>
  </si>
  <si>
    <t>Data Atual:</t>
  </si>
  <si>
    <t>Adimplentes (%)</t>
  </si>
  <si>
    <t>Inadimplentes (%)</t>
  </si>
  <si>
    <t>Inadimplentes over 90 (%)</t>
  </si>
  <si>
    <t>Inadimplentes over 90</t>
  </si>
  <si>
    <t>Recompras(%)</t>
  </si>
  <si>
    <t>TESE:</t>
  </si>
  <si>
    <t>Rent. Acum.</t>
  </si>
  <si>
    <t>RENDIMENTO AJUSTADO SUBORDINDADA</t>
  </si>
  <si>
    <t>Direitos Creditórios</t>
  </si>
  <si>
    <t>Direitos Creditórios(%)</t>
  </si>
  <si>
    <t>Mês da Análise:</t>
  </si>
  <si>
    <t>% CDI</t>
  </si>
  <si>
    <t>Rendimento Acumulado (% CDI)</t>
  </si>
  <si>
    <t>Rent. Acum. CDI</t>
  </si>
  <si>
    <t>Rent. 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</si>
</sst>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IBM Plex Sans"/>
      <family val="2"/>
    </font>
    <font>
      <sz val="11"/>
      <color theme="1"/>
      <name val="IBM Plex Sans"/>
      <family val="2"/>
    </font>
    <font>
      <sz val="10"/>
      <name val="IBM Plex Sans"/>
      <family val="2"/>
    </font>
    <font>
      <sz val="11"/>
      <name val="IBM Plex Sans"/>
      <family val="2"/>
    </font>
    <font>
      <b/>
      <sz val="10"/>
      <color theme="0"/>
      <name val="IBM Plex Sans"/>
      <family val="2"/>
    </font>
    <font>
      <b/>
      <sz val="11"/>
      <name val="IBM Plex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1B5C"/>
        <bgColor indexed="64"/>
      </patternFill>
    </fill>
    <fill>
      <patternFill patternType="solid">
        <fgColor rgb="FFE4F3FF"/>
        <bgColor indexed="64"/>
      </patternFill>
    </fill>
    <fill>
      <patternFill patternType="solid">
        <fgColor rgb="FFFF965A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9" xfId="0" applyFont="1" applyBorder="1"/>
    <xf numFmtId="0" fontId="4" fillId="0" borderId="3" xfId="0" applyFont="1" applyBorder="1"/>
    <xf numFmtId="0" fontId="4" fillId="0" borderId="10" xfId="0" applyFont="1" applyBorder="1"/>
    <xf numFmtId="0" fontId="4" fillId="0" borderId="6" xfId="0" applyFont="1" applyBorder="1"/>
    <xf numFmtId="0" fontId="5" fillId="4" borderId="7" xfId="0" applyFont="1" applyFill="1" applyBorder="1" applyAlignment="1">
      <alignment horizontal="center" vertical="center"/>
    </xf>
    <xf numFmtId="0" fontId="3" fillId="4" borderId="0" xfId="0" applyFont="1" applyFill="1"/>
    <xf numFmtId="0" fontId="4" fillId="4" borderId="6" xfId="0" applyFont="1" applyFill="1" applyBorder="1"/>
    <xf numFmtId="0" fontId="4" fillId="4" borderId="0" xfId="0" applyFont="1" applyFill="1"/>
    <xf numFmtId="0" fontId="5" fillId="4" borderId="0" xfId="0" applyFont="1" applyFill="1" applyAlignment="1">
      <alignment vertical="center"/>
    </xf>
    <xf numFmtId="0" fontId="4" fillId="4" borderId="7" xfId="0" applyFont="1" applyFill="1" applyBorder="1"/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top"/>
    </xf>
    <xf numFmtId="0" fontId="6" fillId="3" borderId="8" xfId="0" applyFont="1" applyFill="1" applyBorder="1" applyAlignment="1">
      <alignment vertical="center"/>
    </xf>
    <xf numFmtId="0" fontId="4" fillId="4" borderId="8" xfId="0" applyFont="1" applyFill="1" applyBorder="1"/>
    <xf numFmtId="0" fontId="4" fillId="4" borderId="1" xfId="0" applyFont="1" applyFill="1" applyBorder="1"/>
    <xf numFmtId="0" fontId="5" fillId="4" borderId="1" xfId="0" applyFont="1" applyFill="1" applyBorder="1" applyAlignment="1">
      <alignment vertical="center"/>
    </xf>
    <xf numFmtId="0" fontId="4" fillId="4" borderId="11" xfId="0" applyFont="1" applyFill="1" applyBorder="1"/>
    <xf numFmtId="0" fontId="7" fillId="6" borderId="9" xfId="0" applyFont="1" applyFill="1" applyBorder="1" applyAlignment="1">
      <alignment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4" fillId="0" borderId="7" xfId="0" applyFont="1" applyBorder="1"/>
    <xf numFmtId="0" fontId="7" fillId="8" borderId="2" xfId="0" applyFont="1" applyFill="1" applyBorder="1" applyAlignment="1">
      <alignment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9" fontId="5" fillId="3" borderId="8" xfId="1" applyFont="1" applyFill="1" applyBorder="1" applyAlignment="1" applyProtection="1">
      <alignment horizontal="center" vertical="center"/>
      <protection locked="0"/>
    </xf>
    <xf numFmtId="17" fontId="5" fillId="3" borderId="1" xfId="1" applyNumberFormat="1" applyFont="1" applyFill="1" applyBorder="1" applyAlignment="1" applyProtection="1">
      <alignment horizontal="center" vertical="center"/>
      <protection locked="0"/>
    </xf>
    <xf numFmtId="17" fontId="5" fillId="3" borderId="11" xfId="1" applyNumberFormat="1" applyFont="1" applyFill="1" applyBorder="1" applyAlignment="1" applyProtection="1">
      <alignment horizontal="center" vertical="center"/>
      <protection locked="0"/>
    </xf>
    <xf numFmtId="9" fontId="5" fillId="7" borderId="12" xfId="1" applyFont="1" applyFill="1" applyBorder="1" applyAlignment="1" applyProtection="1">
      <alignment horizontal="center" vertical="center"/>
      <protection locked="0"/>
    </xf>
    <xf numFmtId="4" fontId="4" fillId="2" borderId="3" xfId="1" applyNumberFormat="1" applyFont="1" applyFill="1" applyBorder="1" applyAlignment="1">
      <alignment horizontal="center" vertical="center"/>
    </xf>
    <xf numFmtId="4" fontId="4" fillId="2" borderId="10" xfId="1" applyNumberFormat="1" applyFont="1" applyFill="1" applyBorder="1" applyAlignment="1">
      <alignment horizontal="center" vertical="center"/>
    </xf>
    <xf numFmtId="9" fontId="5" fillId="7" borderId="13" xfId="1" applyFont="1" applyFill="1" applyBorder="1" applyAlignment="1" applyProtection="1">
      <alignment horizontal="center" vertical="center"/>
      <protection locked="0"/>
    </xf>
    <xf numFmtId="4" fontId="4" fillId="2" borderId="0" xfId="1" applyNumberFormat="1" applyFont="1" applyFill="1" applyBorder="1" applyAlignment="1">
      <alignment horizontal="center" vertical="center"/>
    </xf>
    <xf numFmtId="4" fontId="4" fillId="2" borderId="7" xfId="1" applyNumberFormat="1" applyFont="1" applyFill="1" applyBorder="1" applyAlignment="1">
      <alignment horizontal="center" vertical="center"/>
    </xf>
    <xf numFmtId="10" fontId="4" fillId="2" borderId="0" xfId="1" applyNumberFormat="1" applyFont="1" applyFill="1" applyBorder="1" applyAlignment="1">
      <alignment horizontal="center" vertical="center"/>
    </xf>
    <xf numFmtId="10" fontId="4" fillId="2" borderId="7" xfId="1" applyNumberFormat="1" applyFont="1" applyFill="1" applyBorder="1" applyAlignment="1">
      <alignment horizontal="center" vertical="center"/>
    </xf>
    <xf numFmtId="9" fontId="5" fillId="7" borderId="2" xfId="1" applyFont="1" applyFill="1" applyBorder="1" applyAlignment="1" applyProtection="1">
      <alignment horizontal="center" vertical="center"/>
      <protection locked="0"/>
    </xf>
    <xf numFmtId="10" fontId="4" fillId="5" borderId="4" xfId="1" applyNumberFormat="1" applyFont="1" applyFill="1" applyBorder="1" applyAlignment="1">
      <alignment horizontal="center" vertical="center"/>
    </xf>
    <xf numFmtId="10" fontId="4" fillId="5" borderId="5" xfId="1" applyNumberFormat="1" applyFont="1" applyFill="1" applyBorder="1" applyAlignment="1">
      <alignment horizontal="center" vertical="center"/>
    </xf>
    <xf numFmtId="9" fontId="5" fillId="7" borderId="14" xfId="1" applyFont="1" applyFill="1" applyBorder="1" applyAlignment="1" applyProtection="1">
      <alignment horizontal="center" vertical="center"/>
      <protection locked="0"/>
    </xf>
    <xf numFmtId="9" fontId="4" fillId="2" borderId="1" xfId="1" applyFont="1" applyFill="1" applyBorder="1" applyAlignment="1">
      <alignment horizontal="center" vertical="center"/>
    </xf>
    <xf numFmtId="9" fontId="4" fillId="2" borderId="11" xfId="1" applyFont="1" applyFill="1" applyBorder="1" applyAlignment="1">
      <alignment horizontal="center" vertical="center"/>
    </xf>
    <xf numFmtId="9" fontId="5" fillId="5" borderId="8" xfId="1" applyFont="1" applyFill="1" applyBorder="1" applyAlignment="1" applyProtection="1">
      <alignment horizontal="center" vertical="center"/>
      <protection locked="0"/>
    </xf>
    <xf numFmtId="10" fontId="4" fillId="5" borderId="1" xfId="1" applyNumberFormat="1" applyFont="1" applyFill="1" applyBorder="1" applyAlignment="1">
      <alignment horizontal="center" vertical="center"/>
    </xf>
    <xf numFmtId="10" fontId="4" fillId="5" borderId="11" xfId="1" applyNumberFormat="1" applyFont="1" applyFill="1" applyBorder="1" applyAlignment="1">
      <alignment horizontal="center" vertical="center"/>
    </xf>
    <xf numFmtId="9" fontId="5" fillId="3" borderId="2" xfId="1" applyFont="1" applyFill="1" applyBorder="1" applyAlignment="1" applyProtection="1">
      <alignment horizontal="center" vertical="center"/>
      <protection locked="0"/>
    </xf>
    <xf numFmtId="9" fontId="8" fillId="3" borderId="4" xfId="1" applyFont="1" applyFill="1" applyBorder="1" applyAlignment="1" applyProtection="1">
      <alignment horizontal="center" vertical="center"/>
      <protection locked="0"/>
    </xf>
    <xf numFmtId="10" fontId="8" fillId="3" borderId="4" xfId="1" applyNumberFormat="1" applyFont="1" applyFill="1" applyBorder="1" applyAlignment="1" applyProtection="1">
      <alignment horizontal="center" vertical="center"/>
      <protection locked="0"/>
    </xf>
    <xf numFmtId="10" fontId="8" fillId="3" borderId="5" xfId="1" applyNumberFormat="1" applyFont="1" applyFill="1" applyBorder="1" applyAlignment="1" applyProtection="1">
      <alignment horizontal="center" vertical="center"/>
      <protection locked="0"/>
    </xf>
    <xf numFmtId="9" fontId="4" fillId="5" borderId="1" xfId="1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1" xfId="0" applyFont="1" applyBorder="1"/>
    <xf numFmtId="0" fontId="4" fillId="0" borderId="11" xfId="0" applyFont="1" applyBorder="1"/>
    <xf numFmtId="17" fontId="5" fillId="3" borderId="4" xfId="1" applyNumberFormat="1" applyFont="1" applyFill="1" applyBorder="1" applyAlignment="1" applyProtection="1">
      <alignment horizontal="center" vertical="center"/>
      <protection locked="0"/>
    </xf>
    <xf numFmtId="17" fontId="5" fillId="3" borderId="5" xfId="1" applyNumberFormat="1" applyFont="1" applyFill="1" applyBorder="1" applyAlignment="1" applyProtection="1">
      <alignment horizontal="center" vertical="center"/>
      <protection locked="0"/>
    </xf>
    <xf numFmtId="164" fontId="4" fillId="2" borderId="0" xfId="1" applyNumberFormat="1" applyFont="1" applyFill="1" applyBorder="1" applyAlignment="1">
      <alignment horizontal="center" vertical="center"/>
    </xf>
    <xf numFmtId="164" fontId="4" fillId="2" borderId="7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1" xfId="1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" fontId="5" fillId="3" borderId="4" xfId="1" applyNumberFormat="1" applyFont="1" applyFill="1" applyBorder="1" applyAlignment="1" applyProtection="1">
      <alignment horizontal="center" vertical="center"/>
      <protection locked="0"/>
    </xf>
    <xf numFmtId="0" fontId="7" fillId="6" borderId="4" xfId="0" applyFont="1" applyFill="1" applyBorder="1" applyAlignment="1">
      <alignment horizontal="center" vertical="center"/>
    </xf>
    <xf numFmtId="10" fontId="8" fillId="3" borderId="4" xfId="1" applyNumberFormat="1" applyFont="1" applyFill="1" applyBorder="1" applyAlignment="1" applyProtection="1">
      <alignment horizontal="center" vertical="center"/>
      <protection locked="0"/>
    </xf>
    <xf numFmtId="10" fontId="4" fillId="5" borderId="4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0" xfId="1" applyNumberFormat="1" applyFont="1" applyFill="1" applyBorder="1" applyAlignment="1">
      <alignment horizontal="center" vertical="center"/>
    </xf>
    <xf numFmtId="4" fontId="4" fillId="2" borderId="3" xfId="1" applyNumberFormat="1" applyFont="1" applyFill="1" applyBorder="1" applyAlignment="1">
      <alignment horizontal="center" vertical="center"/>
    </xf>
    <xf numFmtId="4" fontId="4" fillId="2" borderId="0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10" fontId="4" fillId="5" borderId="3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10" fontId="4" fillId="2" borderId="0" xfId="1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" fontId="5" fillId="3" borderId="1" xfId="1" applyNumberFormat="1" applyFont="1" applyFill="1" applyBorder="1" applyAlignment="1" applyProtection="1">
      <alignment horizontal="center" vertical="center"/>
      <protection locked="0"/>
    </xf>
    <xf numFmtId="0" fontId="7" fillId="6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top"/>
    </xf>
    <xf numFmtId="0" fontId="6" fillId="3" borderId="5" xfId="0" applyFont="1" applyFill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5" xfId="0" applyFont="1" applyFill="1" applyBorder="1" applyAlignment="1">
      <alignment horizontal="center" vertical="center"/>
    </xf>
    <xf numFmtId="17" fontId="6" fillId="3" borderId="4" xfId="0" applyNumberFormat="1" applyFont="1" applyFill="1" applyBorder="1" applyAlignment="1">
      <alignment horizontal="center" vertical="top"/>
    </xf>
  </cellXfs>
  <cellStyles count="2">
    <cellStyle name="Normal" xfId="0" builtinId="0"/>
    <cellStyle name="Porcentagem" xfId="1" builtinId="5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3" tint="0.79998168889431442"/>
        </patternFill>
      </fill>
    </dxf>
    <dxf>
      <font>
        <color rgb="FFFF0000"/>
      </font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001B5C"/>
      <color rgb="FFFF965A"/>
      <color rgb="FFE4F3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'ANÁLISE FIDC'!$C$29</c:f>
              <c:strCache>
                <c:ptCount val="1"/>
                <c:pt idx="0">
                  <c:v>Rendimento 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97-4749-8E9D-FF44689A06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'ANÁLISE FIDC'!$D$18:$AH$18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</c:numCache>
            </c:numRef>
          </c:cat>
          <c:val>
            <c:numRef>
              <c:f>'ANÁLISE FIDC'!$D$29:$AH$29</c:f>
              <c:numCache>
                <c:formatCode>0.00%</c:formatCode>
                <c:ptCount val="31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8-4263-B3A3-239042869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024159"/>
        <c:axId val="1743050079"/>
      </c:lineChart>
      <c:dateAx>
        <c:axId val="17430241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50079"/>
        <c:crosses val="autoZero"/>
        <c:auto val="1"/>
        <c:lblOffset val="100"/>
        <c:baseTimeUnit val="months"/>
      </c:dateAx>
      <c:valAx>
        <c:axId val="17430500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2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BM Plex Sans" panose="020B050305020300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FIDC'!$C$38</c:f>
              <c:strCache>
                <c:ptCount val="1"/>
                <c:pt idx="0">
                  <c:v>Pat. Líquido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'ANÁLISE FIDC'!$D$18:$AH$18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</c:numCache>
            </c:numRef>
          </c:cat>
          <c:val>
            <c:numRef>
              <c:f>'ANÁLISE FIDC'!$D$38:$AH$38</c:f>
              <c:numCache>
                <c:formatCode>#,##0.00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AF2C-4206-AC4A-873A11ACB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3024159"/>
        <c:axId val="1743050079"/>
      </c:barChart>
      <c:dateAx>
        <c:axId val="17430241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50079"/>
        <c:crosses val="autoZero"/>
        <c:auto val="1"/>
        <c:lblOffset val="100"/>
        <c:baseTimeUnit val="months"/>
      </c:dateAx>
      <c:valAx>
        <c:axId val="17430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2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BM Plex Sans" panose="020B050305020300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'ANÁLISE FIDC'!$C$42</c:f>
              <c:strCache>
                <c:ptCount val="1"/>
                <c:pt idx="0">
                  <c:v>Adimplentes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'ANÁLISE FIDC'!$D$18:$AH$18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</c:numCache>
            </c:numRef>
          </c:cat>
          <c:val>
            <c:numRef>
              <c:f>'ANÁLISE FIDC'!$D$42:$AH$42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4-4954-843A-5A8CFD7C0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024159"/>
        <c:axId val="1743050079"/>
      </c:lineChart>
      <c:dateAx>
        <c:axId val="17430241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50079"/>
        <c:crosses val="autoZero"/>
        <c:auto val="1"/>
        <c:lblOffset val="100"/>
        <c:baseTimeUnit val="months"/>
      </c:dateAx>
      <c:valAx>
        <c:axId val="17430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2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BM Plex Sans" panose="020B050305020300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'ANÁLISE FIDC'!$C$44</c:f>
              <c:strCache>
                <c:ptCount val="1"/>
                <c:pt idx="0">
                  <c:v>Inadimplentes (%)</c:v>
                </c:pt>
              </c:strCache>
            </c:strRef>
          </c:tx>
          <c:cat>
            <c:numRef>
              <c:f>'ANÁLISE FIDC'!$D$18:$AH$18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</c:numCache>
            </c:numRef>
          </c:cat>
          <c:val>
            <c:numRef>
              <c:f>'ANÁLISE FIDC'!$D$44:$AH$44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65-4759-9FA3-17E5B8A4C5CD}"/>
            </c:ext>
          </c:extLst>
        </c:ser>
        <c:ser>
          <c:idx val="0"/>
          <c:order val="1"/>
          <c:tx>
            <c:strRef>
              <c:f>'ANÁLISE FIDC'!$C$44</c:f>
              <c:strCache>
                <c:ptCount val="1"/>
                <c:pt idx="0">
                  <c:v>Inadimplentes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'ANÁLISE FIDC'!$D$18:$AH$18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</c:numCache>
            </c:numRef>
          </c:cat>
          <c:val>
            <c:numRef>
              <c:f>'ANÁLISE FIDC'!$D$44:$AH$44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5-4759-9FA3-17E5B8A4C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024159"/>
        <c:axId val="1743050079"/>
      </c:lineChart>
      <c:dateAx>
        <c:axId val="17430241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50079"/>
        <c:crosses val="autoZero"/>
        <c:auto val="1"/>
        <c:lblOffset val="100"/>
        <c:baseTimeUnit val="months"/>
      </c:dateAx>
      <c:valAx>
        <c:axId val="1743050079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24159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>
          <a:latin typeface="IBM Plex Sans" panose="020B050305020300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'ANÁLISE FIDC'!$C$48</c:f>
              <c:strCache>
                <c:ptCount val="1"/>
                <c:pt idx="0">
                  <c:v>Recompras(%)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'ANÁLISE FIDC'!$D$18:$AH$18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</c:numCache>
            </c:numRef>
          </c:cat>
          <c:val>
            <c:numRef>
              <c:f>'ANÁLISE FIDC'!$D$48:$AH$48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F-482A-A352-7C42CE17D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024159"/>
        <c:axId val="1743050079"/>
      </c:lineChart>
      <c:dateAx>
        <c:axId val="17430241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50079"/>
        <c:crosses val="autoZero"/>
        <c:auto val="1"/>
        <c:lblOffset val="100"/>
        <c:baseTimeUnit val="months"/>
      </c:dateAx>
      <c:valAx>
        <c:axId val="17430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2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IBM Plex Sans" panose="020B050305020300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'ANÁLISE FIDC'!$C$46</c:f>
              <c:strCache>
                <c:ptCount val="1"/>
                <c:pt idx="0">
                  <c:v>Inadimplentes over 90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'ANÁLISE FIDC'!$D$18:$AH$18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</c:numCache>
            </c:numRef>
          </c:cat>
          <c:val>
            <c:numRef>
              <c:f>'ANÁLISE FIDC'!$D$46:$AH$46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D-4CA0-9E61-240FC412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024159"/>
        <c:axId val="1743050079"/>
      </c:lineChart>
      <c:dateAx>
        <c:axId val="17430241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50079"/>
        <c:crosses val="autoZero"/>
        <c:auto val="1"/>
        <c:lblOffset val="100"/>
        <c:baseTimeUnit val="months"/>
      </c:dateAx>
      <c:valAx>
        <c:axId val="17430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74302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IBM Plex Sans" panose="020B050305020300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'ANÁLISE FIDC'!$C$39</c:f>
              <c:strCache>
                <c:ptCount val="1"/>
                <c:pt idx="0">
                  <c:v>Direitos Creditórios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'ANÁLISE FIDC'!$D$18:$AH$18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45597</c:v>
                </c:pt>
                <c:pt idx="12">
                  <c:v>45627</c:v>
                </c:pt>
                <c:pt idx="13">
                  <c:v>45658</c:v>
                </c:pt>
                <c:pt idx="14">
                  <c:v>45689</c:v>
                </c:pt>
                <c:pt idx="15">
                  <c:v>45717</c:v>
                </c:pt>
                <c:pt idx="16">
                  <c:v>45748</c:v>
                </c:pt>
                <c:pt idx="17">
                  <c:v>45778</c:v>
                </c:pt>
                <c:pt idx="18">
                  <c:v>45809</c:v>
                </c:pt>
                <c:pt idx="19">
                  <c:v>45839</c:v>
                </c:pt>
                <c:pt idx="20">
                  <c:v>45870</c:v>
                </c:pt>
                <c:pt idx="21">
                  <c:v>45901</c:v>
                </c:pt>
                <c:pt idx="22">
                  <c:v>45931</c:v>
                </c:pt>
                <c:pt idx="23">
                  <c:v>45962</c:v>
                </c:pt>
                <c:pt idx="24">
                  <c:v>45992</c:v>
                </c:pt>
                <c:pt idx="25">
                  <c:v>46023</c:v>
                </c:pt>
                <c:pt idx="26">
                  <c:v>46054</c:v>
                </c:pt>
                <c:pt idx="27">
                  <c:v>46082</c:v>
                </c:pt>
                <c:pt idx="28">
                  <c:v>46113</c:v>
                </c:pt>
                <c:pt idx="29">
                  <c:v>46143</c:v>
                </c:pt>
                <c:pt idx="30">
                  <c:v>46174</c:v>
                </c:pt>
              </c:numCache>
            </c:numRef>
          </c:cat>
          <c:val>
            <c:numRef>
              <c:f>'ANÁLISE FIDC'!$D$40:$AH$40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9-4DDD-949F-BF27B6948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241695"/>
        <c:axId val="1899255615"/>
      </c:lineChart>
      <c:dateAx>
        <c:axId val="189924169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899255615"/>
        <c:crosses val="autoZero"/>
        <c:auto val="1"/>
        <c:lblOffset val="100"/>
        <c:baseTimeUnit val="months"/>
      </c:dateAx>
      <c:valAx>
        <c:axId val="189925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89924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BM Plex Sans" panose="020B050305020300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BM Plex Sans" panose="020B050305020300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'ANÁLISE FIDC'!$C$31</c:f>
              <c:strCache>
                <c:ptCount val="1"/>
                <c:pt idx="0">
                  <c:v>Rendimento Acumulado (% CDI)</c:v>
                </c:pt>
              </c:strCache>
            </c:strRef>
          </c:tx>
          <c:marker>
            <c:symbol val="none"/>
          </c:marker>
          <c:cat>
            <c:numRef>
              <c:f>'ANÁLISE FIDC'!$J$18:$AH$18</c:f>
              <c:numCache>
                <c:formatCode>mmm\-yy</c:formatCode>
                <c:ptCount val="25"/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  <c:pt idx="19">
                  <c:v>46023</c:v>
                </c:pt>
                <c:pt idx="20">
                  <c:v>46054</c:v>
                </c:pt>
                <c:pt idx="21">
                  <c:v>46082</c:v>
                </c:pt>
                <c:pt idx="22">
                  <c:v>46113</c:v>
                </c:pt>
                <c:pt idx="23">
                  <c:v>46143</c:v>
                </c:pt>
                <c:pt idx="24">
                  <c:v>46174</c:v>
                </c:pt>
              </c:numCache>
            </c:numRef>
          </c:cat>
          <c:val>
            <c:numRef>
              <c:f>'ANÁLISE FIDC'!$D$31:$AH$31</c:f>
              <c:numCache>
                <c:formatCode>0.00%</c:formatCode>
                <c:ptCount val="31"/>
                <c:pt idx="0" formatCode="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11-4008-8F5C-DE02F8ABA25B}"/>
            </c:ext>
          </c:extLst>
        </c:ser>
        <c:ser>
          <c:idx val="0"/>
          <c:order val="1"/>
          <c:tx>
            <c:strRef>
              <c:f>'ANÁLISE FIDC'!$C$31</c:f>
              <c:strCache>
                <c:ptCount val="1"/>
                <c:pt idx="0">
                  <c:v>Rendimento Acumulado (% CDI)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11-4008-8F5C-DE02F8ABA2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BM Plex Sans" panose="020B050305020300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'ANÁLISE FIDC'!$J$18:$AH$18</c:f>
              <c:numCache>
                <c:formatCode>mmm\-yy</c:formatCode>
                <c:ptCount val="25"/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  <c:pt idx="19">
                  <c:v>46023</c:v>
                </c:pt>
                <c:pt idx="20">
                  <c:v>46054</c:v>
                </c:pt>
                <c:pt idx="21">
                  <c:v>46082</c:v>
                </c:pt>
                <c:pt idx="22">
                  <c:v>46113</c:v>
                </c:pt>
                <c:pt idx="23">
                  <c:v>46143</c:v>
                </c:pt>
                <c:pt idx="24">
                  <c:v>46174</c:v>
                </c:pt>
              </c:numCache>
            </c:numRef>
          </c:cat>
          <c:val>
            <c:numRef>
              <c:f>'ANÁLISE FIDC'!$J$31:$AH$31</c:f>
              <c:numCache>
                <c:formatCode>0.00%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11-4008-8F5C-DE02F8ABA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48672"/>
        <c:axId val="136152992"/>
      </c:lineChart>
      <c:dateAx>
        <c:axId val="1361486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36152992"/>
        <c:crosses val="autoZero"/>
        <c:auto val="1"/>
        <c:lblOffset val="100"/>
        <c:baseTimeUnit val="months"/>
      </c:dateAx>
      <c:valAx>
        <c:axId val="1361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Sans" panose="020B0503050203000203" pitchFamily="34" charset="0"/>
                <a:ea typeface="+mn-ea"/>
                <a:cs typeface="+mn-cs"/>
              </a:defRPr>
            </a:pPr>
            <a:endParaRPr lang="pt-BR"/>
          </a:p>
        </c:txPr>
        <c:crossAx val="136148672"/>
        <c:crosses val="autoZero"/>
        <c:crossBetween val="between"/>
      </c:valAx>
    </c:plotArea>
    <c:plotVisOnly val="1"/>
    <c:dispBlanksAs val="zero"/>
    <c:showDLblsOverMax val="0"/>
    <c:extLst/>
  </c:chart>
  <c:txPr>
    <a:bodyPr/>
    <a:lstStyle/>
    <a:p>
      <a:pPr>
        <a:defRPr>
          <a:latin typeface="IBM Plex Sans" panose="020B050305020300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189371</xdr:colOff>
      <xdr:row>1</xdr:row>
      <xdr:rowOff>27903</xdr:rowOff>
    </xdr:from>
    <xdr:to>
      <xdr:col>15</xdr:col>
      <xdr:colOff>66260</xdr:colOff>
      <xdr:row>13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D4893-1E68-DA6C-4DCA-2F5805E95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133090</xdr:colOff>
      <xdr:row>49</xdr:row>
      <xdr:rowOff>134694</xdr:rowOff>
    </xdr:from>
    <xdr:to>
      <xdr:col>5</xdr:col>
      <xdr:colOff>100853</xdr:colOff>
      <xdr:row>71</xdr:row>
      <xdr:rowOff>33617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1B5A352-D986-42CF-8479-41E38F9B6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33895</xdr:colOff>
      <xdr:row>49</xdr:row>
      <xdr:rowOff>136711</xdr:rowOff>
    </xdr:from>
    <xdr:to>
      <xdr:col>16</xdr:col>
      <xdr:colOff>295826</xdr:colOff>
      <xdr:row>71</xdr:row>
      <xdr:rowOff>25998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80E8085-3DB4-4A80-A647-1E47601ED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347112</xdr:colOff>
      <xdr:row>49</xdr:row>
      <xdr:rowOff>135190</xdr:rowOff>
    </xdr:from>
    <xdr:to>
      <xdr:col>21</xdr:col>
      <xdr:colOff>828217</xdr:colOff>
      <xdr:row>71</xdr:row>
      <xdr:rowOff>25998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B1132B8-9C52-435F-AC53-6C353C8BB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130406</xdr:colOff>
      <xdr:row>49</xdr:row>
      <xdr:rowOff>129540</xdr:rowOff>
    </xdr:from>
    <xdr:to>
      <xdr:col>35</xdr:col>
      <xdr:colOff>183187</xdr:colOff>
      <xdr:row>71</xdr:row>
      <xdr:rowOff>22188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FDBE320-36D8-458E-8C35-28789C5BC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888911</xdr:colOff>
      <xdr:row>49</xdr:row>
      <xdr:rowOff>140970</xdr:rowOff>
    </xdr:from>
    <xdr:to>
      <xdr:col>28</xdr:col>
      <xdr:colOff>59922</xdr:colOff>
      <xdr:row>71</xdr:row>
      <xdr:rowOff>21129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0F540B-DCB6-4323-94F6-BBF75F904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158786</xdr:colOff>
      <xdr:row>49</xdr:row>
      <xdr:rowOff>135641</xdr:rowOff>
    </xdr:from>
    <xdr:to>
      <xdr:col>10</xdr:col>
      <xdr:colOff>1030941</xdr:colOff>
      <xdr:row>71</xdr:row>
      <xdr:rowOff>56029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7B780B-A3BE-4E2F-7EBD-96266BB93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191996</xdr:colOff>
      <xdr:row>1</xdr:row>
      <xdr:rowOff>1226</xdr:rowOff>
    </xdr:from>
    <xdr:to>
      <xdr:col>19</xdr:col>
      <xdr:colOff>780464</xdr:colOff>
      <xdr:row>13</xdr:row>
      <xdr:rowOff>4053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C4D0623-12CF-9598-26E9-192EE5835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6562-3D08-45CE-9348-3E2EB6B27E5A}">
  <sheetPr>
    <tabColor rgb="FF001B5C"/>
  </sheetPr>
  <dimension ref="A1:BF74"/>
  <sheetViews>
    <sheetView showGridLines="0" tabSelected="1" topLeftCell="A11" zoomScale="70" zoomScaleNormal="70" workbookViewId="0">
      <selection activeCell="H13" sqref="H13"/>
    </sheetView>
  </sheetViews>
  <sheetFormatPr defaultColWidth="0" defaultRowHeight="17.5" zeroHeight="1" outlineLevelRow="1" x14ac:dyDescent="0.5"/>
  <cols>
    <col min="1" max="1" width="5.81640625" style="4" customWidth="1"/>
    <col min="2" max="2" width="0.90625" style="5" customWidth="1"/>
    <col min="3" max="3" width="34.54296875" style="5" customWidth="1"/>
    <col min="4" max="9" width="16.453125" style="5" bestFit="1" customWidth="1"/>
    <col min="10" max="10" width="0.90625" style="5" customWidth="1"/>
    <col min="11" max="19" width="16.453125" style="5" bestFit="1" customWidth="1"/>
    <col min="20" max="24" width="17.54296875" style="5" bestFit="1" customWidth="1"/>
    <col min="25" max="25" width="15.81640625" style="5" customWidth="1"/>
    <col min="26" max="27" width="17.54296875" style="5" bestFit="1" customWidth="1"/>
    <col min="28" max="28" width="18.7265625" style="5" bestFit="1" customWidth="1"/>
    <col min="29" max="34" width="17.54296875" style="5" bestFit="1" customWidth="1"/>
    <col min="35" max="35" width="0.90625" style="5" customWidth="1"/>
    <col min="36" max="36" width="5.81640625" style="4" customWidth="1"/>
    <col min="37" max="37" width="11.08984375" style="5" hidden="1" customWidth="1"/>
    <col min="38" max="38" width="57.453125" style="5" hidden="1" customWidth="1"/>
    <col min="39" max="58" width="16.6328125" style="5" hidden="1" customWidth="1"/>
    <col min="59" max="16384" width="8.90625" style="5" hidden="1"/>
  </cols>
  <sheetData>
    <row r="1" spans="1:36" x14ac:dyDescent="0.5">
      <c r="A1" s="4" t="s">
        <v>13</v>
      </c>
      <c r="K1" s="4" t="s">
        <v>13</v>
      </c>
    </row>
    <row r="2" spans="1:36" ht="5" customHeight="1" x14ac:dyDescent="0.5">
      <c r="B2" s="6"/>
      <c r="C2" s="7"/>
      <c r="D2" s="7"/>
      <c r="E2" s="7"/>
      <c r="F2" s="7"/>
      <c r="G2" s="7"/>
      <c r="H2" s="7"/>
      <c r="I2" s="7"/>
      <c r="J2" s="8"/>
      <c r="K2" s="4"/>
    </row>
    <row r="3" spans="1:36" x14ac:dyDescent="0.5">
      <c r="B3" s="9"/>
      <c r="C3" s="80" t="e" vm="1">
        <v>#VALUE!</v>
      </c>
      <c r="D3" s="80"/>
      <c r="E3" s="80"/>
      <c r="F3" s="80"/>
      <c r="G3" s="80"/>
      <c r="H3" s="80"/>
      <c r="I3" s="80"/>
      <c r="J3" s="10"/>
      <c r="K3" s="4"/>
    </row>
    <row r="4" spans="1:36" x14ac:dyDescent="0.5">
      <c r="B4" s="9"/>
      <c r="C4" s="80"/>
      <c r="D4" s="80"/>
      <c r="E4" s="80"/>
      <c r="F4" s="80"/>
      <c r="G4" s="80"/>
      <c r="H4" s="80"/>
      <c r="I4" s="80"/>
      <c r="J4" s="10"/>
      <c r="K4" s="4"/>
    </row>
    <row r="5" spans="1:36" x14ac:dyDescent="0.5">
      <c r="B5" s="9"/>
      <c r="C5" s="80"/>
      <c r="D5" s="80"/>
      <c r="E5" s="80"/>
      <c r="F5" s="80"/>
      <c r="G5" s="80"/>
      <c r="H5" s="80"/>
      <c r="I5" s="80"/>
      <c r="J5" s="10"/>
      <c r="K5" s="4"/>
    </row>
    <row r="6" spans="1:36" x14ac:dyDescent="0.5">
      <c r="B6" s="9"/>
      <c r="C6" s="80"/>
      <c r="D6" s="80"/>
      <c r="E6" s="80"/>
      <c r="F6" s="80"/>
      <c r="G6" s="80"/>
      <c r="H6" s="80"/>
      <c r="I6" s="80"/>
      <c r="J6" s="10"/>
      <c r="K6" s="4"/>
    </row>
    <row r="7" spans="1:36" x14ac:dyDescent="0.5">
      <c r="B7" s="9"/>
      <c r="C7" s="80"/>
      <c r="D7" s="80"/>
      <c r="E7" s="80"/>
      <c r="F7" s="80"/>
      <c r="G7" s="80"/>
      <c r="H7" s="80"/>
      <c r="I7" s="80"/>
      <c r="J7" s="10"/>
      <c r="K7" s="4"/>
    </row>
    <row r="8" spans="1:36" x14ac:dyDescent="0.5">
      <c r="B8" s="9"/>
      <c r="C8" s="80"/>
      <c r="D8" s="80"/>
      <c r="E8" s="80"/>
      <c r="F8" s="80"/>
      <c r="G8" s="80"/>
      <c r="H8" s="80"/>
      <c r="I8" s="80"/>
      <c r="J8" s="10"/>
      <c r="K8" s="4"/>
    </row>
    <row r="9" spans="1:36" s="13" customFormat="1" ht="5" customHeight="1" x14ac:dyDescent="0.5">
      <c r="A9" s="11"/>
      <c r="B9" s="12"/>
      <c r="D9" s="14"/>
      <c r="E9" s="14"/>
      <c r="F9" s="14"/>
      <c r="G9" s="14"/>
      <c r="H9" s="14"/>
      <c r="J9" s="15"/>
      <c r="K9" s="11"/>
      <c r="AJ9" s="11"/>
    </row>
    <row r="10" spans="1:36" s="13" customFormat="1" x14ac:dyDescent="0.5">
      <c r="A10" s="11" t="s">
        <v>13</v>
      </c>
      <c r="B10" s="12"/>
      <c r="C10" s="16" t="s">
        <v>9</v>
      </c>
      <c r="D10" s="83"/>
      <c r="E10" s="83"/>
      <c r="F10" s="83"/>
      <c r="G10" s="17" t="s">
        <v>18</v>
      </c>
      <c r="H10" s="85"/>
      <c r="I10" s="86"/>
      <c r="J10" s="18"/>
      <c r="K10" s="11"/>
      <c r="AJ10" s="11"/>
    </row>
    <row r="11" spans="1:36" s="13" customFormat="1" x14ac:dyDescent="0.5">
      <c r="A11" s="11"/>
      <c r="B11" s="12"/>
      <c r="C11" s="19" t="s">
        <v>10</v>
      </c>
      <c r="D11" s="84"/>
      <c r="E11" s="84"/>
      <c r="F11" s="84"/>
      <c r="G11" s="17" t="s">
        <v>11</v>
      </c>
      <c r="H11" s="87"/>
      <c r="I11" s="86"/>
      <c r="J11" s="18"/>
      <c r="K11" s="11"/>
      <c r="AJ11" s="11"/>
    </row>
    <row r="12" spans="1:36" s="13" customFormat="1" x14ac:dyDescent="0.5">
      <c r="A12" s="11" t="s">
        <v>13</v>
      </c>
      <c r="B12" s="12"/>
      <c r="C12" s="17" t="s">
        <v>24</v>
      </c>
      <c r="D12" s="83"/>
      <c r="E12" s="83"/>
      <c r="F12" s="88"/>
      <c r="G12" s="17" t="s">
        <v>29</v>
      </c>
      <c r="H12" s="89">
        <v>46174</v>
      </c>
      <c r="I12" s="86"/>
      <c r="J12" s="18"/>
      <c r="K12" s="11"/>
      <c r="AJ12" s="11"/>
    </row>
    <row r="13" spans="1:36" s="13" customFormat="1" ht="5" customHeight="1" x14ac:dyDescent="0.5">
      <c r="A13" s="11"/>
      <c r="B13" s="20"/>
      <c r="C13" s="21"/>
      <c r="D13" s="22"/>
      <c r="E13" s="22"/>
      <c r="F13" s="22"/>
      <c r="G13" s="22"/>
      <c r="H13" s="22"/>
      <c r="I13" s="21"/>
      <c r="J13" s="23"/>
      <c r="K13" s="11"/>
      <c r="AJ13" s="11"/>
    </row>
    <row r="14" spans="1:36" s="13" customFormat="1" ht="10" customHeight="1" x14ac:dyDescent="0.5">
      <c r="A14" s="11"/>
      <c r="K14" s="11" t="s">
        <v>13</v>
      </c>
      <c r="AJ14" s="11" t="s">
        <v>13</v>
      </c>
    </row>
    <row r="15" spans="1:36" ht="5" customHeight="1" x14ac:dyDescent="0.5">
      <c r="B15" s="6"/>
      <c r="C15" s="7"/>
      <c r="D15" s="7"/>
      <c r="E15" s="7"/>
      <c r="F15" s="7"/>
      <c r="G15" s="7"/>
      <c r="H15" s="7"/>
      <c r="I15" s="75"/>
      <c r="J15" s="7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8"/>
    </row>
    <row r="16" spans="1:36" x14ac:dyDescent="0.5">
      <c r="A16" s="4" t="s">
        <v>13</v>
      </c>
      <c r="B16" s="9"/>
      <c r="C16" s="24" t="s">
        <v>26</v>
      </c>
      <c r="D16" s="25"/>
      <c r="E16" s="25"/>
      <c r="F16" s="25"/>
      <c r="G16" s="25"/>
      <c r="H16" s="25"/>
      <c r="I16" s="82"/>
      <c r="J16" s="82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6"/>
      <c r="AI16" s="27"/>
    </row>
    <row r="17" spans="2:35" ht="2" customHeight="1" x14ac:dyDescent="0.5">
      <c r="B17" s="9"/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30"/>
      <c r="AI17" s="27"/>
    </row>
    <row r="18" spans="2:35" x14ac:dyDescent="0.5">
      <c r="B18" s="9"/>
      <c r="C18" s="31" t="s">
        <v>8</v>
      </c>
      <c r="D18" s="32">
        <f t="shared" ref="D18:AB18" si="0">EDATE(E18,-1)</f>
        <v>45292</v>
      </c>
      <c r="E18" s="32">
        <f t="shared" si="0"/>
        <v>45323</v>
      </c>
      <c r="F18" s="32">
        <f t="shared" si="0"/>
        <v>45352</v>
      </c>
      <c r="G18" s="32">
        <f t="shared" si="0"/>
        <v>45383</v>
      </c>
      <c r="H18" s="32">
        <f t="shared" si="0"/>
        <v>45413</v>
      </c>
      <c r="I18" s="81">
        <f>EDATE(K18,-1)</f>
        <v>45444</v>
      </c>
      <c r="J18" s="81"/>
      <c r="K18" s="32">
        <f t="shared" si="0"/>
        <v>45474</v>
      </c>
      <c r="L18" s="32">
        <f t="shared" si="0"/>
        <v>45505</v>
      </c>
      <c r="M18" s="32">
        <f t="shared" si="0"/>
        <v>45536</v>
      </c>
      <c r="N18" s="32">
        <f t="shared" si="0"/>
        <v>45566</v>
      </c>
      <c r="O18" s="32">
        <f t="shared" si="0"/>
        <v>45597</v>
      </c>
      <c r="P18" s="32">
        <f t="shared" si="0"/>
        <v>45627</v>
      </c>
      <c r="Q18" s="32">
        <f t="shared" si="0"/>
        <v>45658</v>
      </c>
      <c r="R18" s="32">
        <f t="shared" si="0"/>
        <v>45689</v>
      </c>
      <c r="S18" s="32">
        <f t="shared" si="0"/>
        <v>45717</v>
      </c>
      <c r="T18" s="32">
        <f t="shared" si="0"/>
        <v>45748</v>
      </c>
      <c r="U18" s="32">
        <f t="shared" si="0"/>
        <v>45778</v>
      </c>
      <c r="V18" s="32">
        <f t="shared" si="0"/>
        <v>45809</v>
      </c>
      <c r="W18" s="32">
        <f t="shared" si="0"/>
        <v>45839</v>
      </c>
      <c r="X18" s="32">
        <f t="shared" si="0"/>
        <v>45870</v>
      </c>
      <c r="Y18" s="32">
        <f t="shared" si="0"/>
        <v>45901</v>
      </c>
      <c r="Z18" s="32">
        <f t="shared" si="0"/>
        <v>45931</v>
      </c>
      <c r="AA18" s="32">
        <f t="shared" si="0"/>
        <v>45962</v>
      </c>
      <c r="AB18" s="32">
        <f t="shared" si="0"/>
        <v>45992</v>
      </c>
      <c r="AC18" s="32">
        <f>EDATE(AD18,-1)</f>
        <v>46023</v>
      </c>
      <c r="AD18" s="32">
        <f>EDATE(AE18,-1)</f>
        <v>46054</v>
      </c>
      <c r="AE18" s="32">
        <f>EDATE(AF18,-1)</f>
        <v>46082</v>
      </c>
      <c r="AF18" s="32">
        <f>EDATE(AG18,-1)</f>
        <v>46113</v>
      </c>
      <c r="AG18" s="32">
        <f>EDATE(AH18,-1)</f>
        <v>46143</v>
      </c>
      <c r="AH18" s="33">
        <f>H12</f>
        <v>46174</v>
      </c>
      <c r="AI18" s="27"/>
    </row>
    <row r="19" spans="2:35" x14ac:dyDescent="0.5">
      <c r="B19" s="9"/>
      <c r="C19" s="34" t="s">
        <v>6</v>
      </c>
      <c r="D19" s="35"/>
      <c r="E19" s="35"/>
      <c r="F19" s="35"/>
      <c r="G19" s="35"/>
      <c r="H19" s="35"/>
      <c r="I19" s="73"/>
      <c r="J19" s="73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6"/>
      <c r="AI19" s="27"/>
    </row>
    <row r="20" spans="2:35" x14ac:dyDescent="0.5">
      <c r="B20" s="9"/>
      <c r="C20" s="37" t="s">
        <v>2</v>
      </c>
      <c r="D20" s="38"/>
      <c r="E20" s="38"/>
      <c r="F20" s="38"/>
      <c r="G20" s="38"/>
      <c r="H20" s="38"/>
      <c r="I20" s="74"/>
      <c r="J20" s="74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9"/>
      <c r="AI20" s="27"/>
    </row>
    <row r="21" spans="2:35" x14ac:dyDescent="0.5">
      <c r="B21" s="9"/>
      <c r="C21" s="37" t="s">
        <v>1</v>
      </c>
      <c r="D21" s="38">
        <f>D19*D20</f>
        <v>0</v>
      </c>
      <c r="E21" s="38">
        <f>E19*E20</f>
        <v>0</v>
      </c>
      <c r="F21" s="38">
        <f t="shared" ref="F21:AH21" si="1">F19*F20</f>
        <v>0</v>
      </c>
      <c r="G21" s="38">
        <f t="shared" si="1"/>
        <v>0</v>
      </c>
      <c r="H21" s="38">
        <f t="shared" si="1"/>
        <v>0</v>
      </c>
      <c r="I21" s="74">
        <f t="shared" si="1"/>
        <v>0</v>
      </c>
      <c r="J21" s="74"/>
      <c r="K21" s="38">
        <f t="shared" si="1"/>
        <v>0</v>
      </c>
      <c r="L21" s="38">
        <f t="shared" si="1"/>
        <v>0</v>
      </c>
      <c r="M21" s="38">
        <f t="shared" si="1"/>
        <v>0</v>
      </c>
      <c r="N21" s="38">
        <f t="shared" si="1"/>
        <v>0</v>
      </c>
      <c r="O21" s="38">
        <f t="shared" si="1"/>
        <v>0</v>
      </c>
      <c r="P21" s="38">
        <f t="shared" si="1"/>
        <v>0</v>
      </c>
      <c r="Q21" s="38">
        <f t="shared" si="1"/>
        <v>0</v>
      </c>
      <c r="R21" s="38">
        <f t="shared" si="1"/>
        <v>0</v>
      </c>
      <c r="S21" s="38">
        <f t="shared" si="1"/>
        <v>0</v>
      </c>
      <c r="T21" s="38">
        <f t="shared" si="1"/>
        <v>0</v>
      </c>
      <c r="U21" s="38">
        <f t="shared" si="1"/>
        <v>0</v>
      </c>
      <c r="V21" s="38">
        <f t="shared" si="1"/>
        <v>0</v>
      </c>
      <c r="W21" s="38">
        <f t="shared" si="1"/>
        <v>0</v>
      </c>
      <c r="X21" s="38">
        <f t="shared" si="1"/>
        <v>0</v>
      </c>
      <c r="Y21" s="38">
        <f t="shared" si="1"/>
        <v>0</v>
      </c>
      <c r="Z21" s="38">
        <f t="shared" si="1"/>
        <v>0</v>
      </c>
      <c r="AA21" s="38">
        <f t="shared" si="1"/>
        <v>0</v>
      </c>
      <c r="AB21" s="38">
        <f t="shared" si="1"/>
        <v>0</v>
      </c>
      <c r="AC21" s="38">
        <f t="shared" si="1"/>
        <v>0</v>
      </c>
      <c r="AD21" s="38">
        <f t="shared" si="1"/>
        <v>0</v>
      </c>
      <c r="AE21" s="38">
        <f t="shared" si="1"/>
        <v>0</v>
      </c>
      <c r="AF21" s="38">
        <f t="shared" si="1"/>
        <v>0</v>
      </c>
      <c r="AG21" s="38">
        <f t="shared" si="1"/>
        <v>0</v>
      </c>
      <c r="AH21" s="39">
        <f t="shared" si="1"/>
        <v>0</v>
      </c>
      <c r="AI21" s="27"/>
    </row>
    <row r="22" spans="2:35" x14ac:dyDescent="0.5">
      <c r="B22" s="9"/>
      <c r="C22" s="37" t="s">
        <v>3</v>
      </c>
      <c r="D22" s="38"/>
      <c r="E22" s="38"/>
      <c r="F22" s="38"/>
      <c r="G22" s="38"/>
      <c r="H22" s="38"/>
      <c r="I22" s="74"/>
      <c r="J22" s="74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9"/>
      <c r="AI22" s="27"/>
    </row>
    <row r="23" spans="2:35" x14ac:dyDescent="0.5">
      <c r="B23" s="9"/>
      <c r="C23" s="37" t="s">
        <v>4</v>
      </c>
      <c r="D23" s="38"/>
      <c r="E23" s="38"/>
      <c r="F23" s="38"/>
      <c r="G23" s="38"/>
      <c r="H23" s="38"/>
      <c r="I23" s="74"/>
      <c r="J23" s="74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9"/>
      <c r="AI23" s="27"/>
    </row>
    <row r="24" spans="2:35" x14ac:dyDescent="0.5">
      <c r="B24" s="9"/>
      <c r="C24" s="37" t="s">
        <v>5</v>
      </c>
      <c r="D24" s="38">
        <f>D21-D22+D23</f>
        <v>0</v>
      </c>
      <c r="E24" s="38">
        <f>E21-E22+E23</f>
        <v>0</v>
      </c>
      <c r="F24" s="38">
        <f t="shared" ref="F24:AH24" si="2">F21-F22+F23</f>
        <v>0</v>
      </c>
      <c r="G24" s="38">
        <f t="shared" si="2"/>
        <v>0</v>
      </c>
      <c r="H24" s="38">
        <f t="shared" si="2"/>
        <v>0</v>
      </c>
      <c r="I24" s="74">
        <f t="shared" si="2"/>
        <v>0</v>
      </c>
      <c r="J24" s="74"/>
      <c r="K24" s="38">
        <f t="shared" si="2"/>
        <v>0</v>
      </c>
      <c r="L24" s="38">
        <f t="shared" si="2"/>
        <v>0</v>
      </c>
      <c r="M24" s="38">
        <f t="shared" si="2"/>
        <v>0</v>
      </c>
      <c r="N24" s="38">
        <f t="shared" si="2"/>
        <v>0</v>
      </c>
      <c r="O24" s="38">
        <f t="shared" si="2"/>
        <v>0</v>
      </c>
      <c r="P24" s="38">
        <f t="shared" si="2"/>
        <v>0</v>
      </c>
      <c r="Q24" s="38">
        <f t="shared" si="2"/>
        <v>0</v>
      </c>
      <c r="R24" s="38">
        <f t="shared" si="2"/>
        <v>0</v>
      </c>
      <c r="S24" s="38">
        <f t="shared" si="2"/>
        <v>0</v>
      </c>
      <c r="T24" s="38">
        <f t="shared" si="2"/>
        <v>0</v>
      </c>
      <c r="U24" s="38">
        <f t="shared" si="2"/>
        <v>0</v>
      </c>
      <c r="V24" s="38">
        <f t="shared" si="2"/>
        <v>0</v>
      </c>
      <c r="W24" s="38">
        <f t="shared" si="2"/>
        <v>0</v>
      </c>
      <c r="X24" s="38">
        <f t="shared" si="2"/>
        <v>0</v>
      </c>
      <c r="Y24" s="38">
        <f t="shared" si="2"/>
        <v>0</v>
      </c>
      <c r="Z24" s="38">
        <f t="shared" si="2"/>
        <v>0</v>
      </c>
      <c r="AA24" s="38">
        <f t="shared" si="2"/>
        <v>0</v>
      </c>
      <c r="AB24" s="38">
        <f t="shared" si="2"/>
        <v>0</v>
      </c>
      <c r="AC24" s="38">
        <f t="shared" si="2"/>
        <v>0</v>
      </c>
      <c r="AD24" s="38">
        <f t="shared" si="2"/>
        <v>0</v>
      </c>
      <c r="AE24" s="38">
        <f t="shared" si="2"/>
        <v>0</v>
      </c>
      <c r="AF24" s="38">
        <f t="shared" si="2"/>
        <v>0</v>
      </c>
      <c r="AG24" s="38">
        <f t="shared" si="2"/>
        <v>0</v>
      </c>
      <c r="AH24" s="39">
        <f t="shared" si="2"/>
        <v>0</v>
      </c>
      <c r="AI24" s="27"/>
    </row>
    <row r="25" spans="2:35" ht="25" customHeight="1" x14ac:dyDescent="0.5">
      <c r="B25" s="9"/>
      <c r="C25" s="37" t="s">
        <v>7</v>
      </c>
      <c r="D25" s="40">
        <v>0</v>
      </c>
      <c r="E25" s="40" t="e">
        <f>E24/D21-1</f>
        <v>#DIV/0!</v>
      </c>
      <c r="F25" s="40" t="e">
        <f t="shared" ref="F25:AF25" si="3">F24/E21-1</f>
        <v>#DIV/0!</v>
      </c>
      <c r="G25" s="40" t="e">
        <f t="shared" si="3"/>
        <v>#DIV/0!</v>
      </c>
      <c r="H25" s="40" t="e">
        <f t="shared" si="3"/>
        <v>#DIV/0!</v>
      </c>
      <c r="I25" s="79" t="e">
        <f t="shared" si="3"/>
        <v>#DIV/0!</v>
      </c>
      <c r="J25" s="79"/>
      <c r="K25" s="40" t="e">
        <f>K24/I21-1</f>
        <v>#DIV/0!</v>
      </c>
      <c r="L25" s="40" t="e">
        <f t="shared" si="3"/>
        <v>#DIV/0!</v>
      </c>
      <c r="M25" s="40" t="e">
        <f t="shared" si="3"/>
        <v>#DIV/0!</v>
      </c>
      <c r="N25" s="40" t="e">
        <f t="shared" si="3"/>
        <v>#DIV/0!</v>
      </c>
      <c r="O25" s="40" t="e">
        <f t="shared" si="3"/>
        <v>#DIV/0!</v>
      </c>
      <c r="P25" s="40" t="e">
        <f t="shared" si="3"/>
        <v>#DIV/0!</v>
      </c>
      <c r="Q25" s="40" t="e">
        <f t="shared" si="3"/>
        <v>#DIV/0!</v>
      </c>
      <c r="R25" s="40" t="e">
        <f t="shared" si="3"/>
        <v>#DIV/0!</v>
      </c>
      <c r="S25" s="40" t="e">
        <f t="shared" si="3"/>
        <v>#DIV/0!</v>
      </c>
      <c r="T25" s="40" t="e">
        <f t="shared" si="3"/>
        <v>#DIV/0!</v>
      </c>
      <c r="U25" s="40" t="e">
        <f t="shared" si="3"/>
        <v>#DIV/0!</v>
      </c>
      <c r="V25" s="40" t="e">
        <f t="shared" si="3"/>
        <v>#DIV/0!</v>
      </c>
      <c r="W25" s="40" t="e">
        <f t="shared" si="3"/>
        <v>#DIV/0!</v>
      </c>
      <c r="X25" s="40" t="e">
        <f t="shared" si="3"/>
        <v>#DIV/0!</v>
      </c>
      <c r="Y25" s="40" t="e">
        <f t="shared" si="3"/>
        <v>#DIV/0!</v>
      </c>
      <c r="Z25" s="40" t="e">
        <f t="shared" si="3"/>
        <v>#DIV/0!</v>
      </c>
      <c r="AA25" s="40" t="e">
        <f t="shared" si="3"/>
        <v>#DIV/0!</v>
      </c>
      <c r="AB25" s="40" t="e">
        <f t="shared" si="3"/>
        <v>#DIV/0!</v>
      </c>
      <c r="AC25" s="40" t="e">
        <f t="shared" si="3"/>
        <v>#DIV/0!</v>
      </c>
      <c r="AD25" s="40" t="e">
        <f t="shared" si="3"/>
        <v>#DIV/0!</v>
      </c>
      <c r="AE25" s="40" t="e">
        <f t="shared" si="3"/>
        <v>#DIV/0!</v>
      </c>
      <c r="AF25" s="40" t="e">
        <f t="shared" si="3"/>
        <v>#DIV/0!</v>
      </c>
      <c r="AG25" s="40" t="e">
        <f t="shared" ref="AG25" si="4">AG24/AF21-1</f>
        <v>#DIV/0!</v>
      </c>
      <c r="AH25" s="41" t="e">
        <f t="shared" ref="AH25" si="5">AH24/AG21-1</f>
        <v>#DIV/0!</v>
      </c>
      <c r="AI25" s="27"/>
    </row>
    <row r="26" spans="2:35" hidden="1" outlineLevel="1" x14ac:dyDescent="0.5">
      <c r="B26" s="9"/>
      <c r="C26" s="42" t="s">
        <v>33</v>
      </c>
      <c r="D26" s="43">
        <f>_xlfn.XLOOKUP(D18,CDI!$B:$B,CDI!$C:$C)</f>
        <v>9.7000000000000003E-3</v>
      </c>
      <c r="E26" s="43">
        <f>_xlfn.XLOOKUP(E18,CDI!$B:$B,CDI!$C:$C)</f>
        <v>8.0000000000000002E-3</v>
      </c>
      <c r="F26" s="43">
        <f>_xlfn.XLOOKUP(F18,CDI!$B:$B,CDI!$C:$C)</f>
        <v>8.3000000000000001E-3</v>
      </c>
      <c r="G26" s="43">
        <f>_xlfn.XLOOKUP(G18,CDI!$B:$B,CDI!$C:$C)</f>
        <v>8.8999999999999999E-3</v>
      </c>
      <c r="H26" s="43">
        <f>_xlfn.XLOOKUP(H18,CDI!$B:$B,CDI!$C:$C)</f>
        <v>8.3000000000000001E-3</v>
      </c>
      <c r="I26" s="70">
        <f>_xlfn.XLOOKUP(I18,CDI!$B:$B,CDI!$C:$C)</f>
        <v>7.9000000000000008E-3</v>
      </c>
      <c r="J26" s="70"/>
      <c r="K26" s="43">
        <f>_xlfn.XLOOKUP(K18,CDI!$B:$B,CDI!$C:$C)</f>
        <v>9.1000000000000004E-3</v>
      </c>
      <c r="L26" s="43">
        <f>_xlfn.XLOOKUP(L18,CDI!$B:$B,CDI!$C:$C)</f>
        <v>8.6999999999999994E-3</v>
      </c>
      <c r="M26" s="43">
        <f>_xlfn.XLOOKUP(M18,CDI!$B:$B,CDI!$C:$C)</f>
        <v>8.3999999999999995E-3</v>
      </c>
      <c r="N26" s="43">
        <f>_xlfn.XLOOKUP(N18,CDI!$B:$B,CDI!$C:$C)</f>
        <v>9.300000000000001E-3</v>
      </c>
      <c r="O26" s="43">
        <f>_xlfn.XLOOKUP(O18,CDI!$B:$B,CDI!$C:$C)</f>
        <v>7.9000000000000008E-3</v>
      </c>
      <c r="P26" s="43">
        <f>_xlfn.XLOOKUP(P18,CDI!$B:$B,CDI!$C:$C)</f>
        <v>9.300000000000001E-3</v>
      </c>
      <c r="Q26" s="43">
        <f>_xlfn.XLOOKUP(Q18,CDI!$B:$B,CDI!$C:$C)</f>
        <v>1.01E-2</v>
      </c>
      <c r="R26" s="43">
        <f>_xlfn.XLOOKUP(R18,CDI!$B:$B,CDI!$C:$C)</f>
        <v>9.8999999999999991E-3</v>
      </c>
      <c r="S26" s="43">
        <f>_xlfn.XLOOKUP(S18,CDI!$B:$B,CDI!$C:$C)</f>
        <v>9.5999999999999992E-3</v>
      </c>
      <c r="T26" s="43">
        <f>_xlfn.XLOOKUP(T18,CDI!$B:$B,CDI!$C:$C)</f>
        <v>1.06E-2</v>
      </c>
      <c r="U26" s="43">
        <f>_xlfn.XLOOKUP(U18,CDI!$B:$B,CDI!$C:$C)</f>
        <v>1.1399999999999999E-2</v>
      </c>
      <c r="V26" s="43">
        <f>_xlfn.XLOOKUP(V18,CDI!$B:$B,CDI!$C:$C)</f>
        <v>1.1000000000000001E-2</v>
      </c>
      <c r="W26" s="43">
        <f>_xlfn.XLOOKUP(W18,CDI!$B:$B,CDI!$C:$C)</f>
        <v>1.2800000000000001E-2</v>
      </c>
      <c r="X26" s="43">
        <f>_xlfn.XLOOKUP(X18,CDI!$B:$B,CDI!$C:$C)</f>
        <v>1.1599999999999999E-2</v>
      </c>
      <c r="Y26" s="43">
        <f>_xlfn.XLOOKUP(Y18,CDI!$B:$B,CDI!$C:$C)</f>
        <v>1.2199999999999999E-2</v>
      </c>
      <c r="Z26" s="43">
        <f>_xlfn.XLOOKUP(Z18,CDI!$B:$B,CDI!$C:$C)</f>
        <v>1.2800000000000001E-2</v>
      </c>
      <c r="AA26" s="43">
        <f>_xlfn.XLOOKUP(AA18,CDI!$B:$B,CDI!$C:$C)</f>
        <v>5.5000000000000005E-3</v>
      </c>
      <c r="AB26" s="43">
        <f>_xlfn.XLOOKUP(AB18,CDI!$B:$B,CDI!$C:$C)</f>
        <v>1.2200000000000001E-2</v>
      </c>
      <c r="AC26" s="43">
        <f>_xlfn.XLOOKUP(AC18,CDI!$B:$B,CDI!$C:$C)</f>
        <v>1.1599999999999999E-2</v>
      </c>
      <c r="AD26" s="43">
        <f>_xlfn.XLOOKUP(AD18,CDI!$B:$B,CDI!$C:$C)</f>
        <v>0.01</v>
      </c>
      <c r="AE26" s="43">
        <f>_xlfn.XLOOKUP(AE18,CDI!$B:$B,CDI!$C:$C)</f>
        <v>1.21E-2</v>
      </c>
      <c r="AF26" s="43" t="e">
        <f>_xlfn.XLOOKUP(AF18,CDI!$B:$B,CDI!$C:$C)</f>
        <v>#N/A</v>
      </c>
      <c r="AG26" s="43" t="e">
        <f>_xlfn.XLOOKUP(AG18,CDI!$B:$B,CDI!$C:$C)</f>
        <v>#N/A</v>
      </c>
      <c r="AH26" s="44" t="e">
        <f>_xlfn.XLOOKUP(AH18,CDI!$B:$B,CDI!$C:$C)</f>
        <v>#N/A</v>
      </c>
      <c r="AI26" s="27"/>
    </row>
    <row r="27" spans="2:35" collapsed="1" x14ac:dyDescent="0.5">
      <c r="B27" s="9"/>
      <c r="C27" s="45" t="s">
        <v>30</v>
      </c>
      <c r="D27" s="46">
        <f>D25/D26</f>
        <v>0</v>
      </c>
      <c r="E27" s="46" t="e">
        <f>E25/E26</f>
        <v>#DIV/0!</v>
      </c>
      <c r="F27" s="46" t="e">
        <f t="shared" ref="F27:AH27" si="6">F25/F26</f>
        <v>#DIV/0!</v>
      </c>
      <c r="G27" s="46" t="e">
        <f t="shared" si="6"/>
        <v>#DIV/0!</v>
      </c>
      <c r="H27" s="46" t="e">
        <f t="shared" si="6"/>
        <v>#DIV/0!</v>
      </c>
      <c r="I27" s="77" t="e">
        <f>I25/I26</f>
        <v>#DIV/0!</v>
      </c>
      <c r="J27" s="78" t="e">
        <f t="shared" si="6"/>
        <v>#DIV/0!</v>
      </c>
      <c r="K27" s="46" t="e">
        <f t="shared" si="6"/>
        <v>#DIV/0!</v>
      </c>
      <c r="L27" s="46" t="e">
        <f t="shared" si="6"/>
        <v>#DIV/0!</v>
      </c>
      <c r="M27" s="46" t="e">
        <f t="shared" si="6"/>
        <v>#DIV/0!</v>
      </c>
      <c r="N27" s="46" t="e">
        <f t="shared" si="6"/>
        <v>#DIV/0!</v>
      </c>
      <c r="O27" s="46" t="e">
        <f t="shared" si="6"/>
        <v>#DIV/0!</v>
      </c>
      <c r="P27" s="46" t="e">
        <f t="shared" si="6"/>
        <v>#DIV/0!</v>
      </c>
      <c r="Q27" s="46" t="e">
        <f t="shared" si="6"/>
        <v>#DIV/0!</v>
      </c>
      <c r="R27" s="46" t="e">
        <f t="shared" si="6"/>
        <v>#DIV/0!</v>
      </c>
      <c r="S27" s="46" t="e">
        <f t="shared" si="6"/>
        <v>#DIV/0!</v>
      </c>
      <c r="T27" s="46" t="e">
        <f t="shared" si="6"/>
        <v>#DIV/0!</v>
      </c>
      <c r="U27" s="46" t="e">
        <f t="shared" si="6"/>
        <v>#DIV/0!</v>
      </c>
      <c r="V27" s="46" t="e">
        <f t="shared" si="6"/>
        <v>#DIV/0!</v>
      </c>
      <c r="W27" s="46" t="e">
        <f t="shared" si="6"/>
        <v>#DIV/0!</v>
      </c>
      <c r="X27" s="46" t="e">
        <f t="shared" si="6"/>
        <v>#DIV/0!</v>
      </c>
      <c r="Y27" s="46" t="e">
        <f t="shared" si="6"/>
        <v>#DIV/0!</v>
      </c>
      <c r="Z27" s="46" t="e">
        <f t="shared" si="6"/>
        <v>#DIV/0!</v>
      </c>
      <c r="AA27" s="46" t="e">
        <f t="shared" si="6"/>
        <v>#DIV/0!</v>
      </c>
      <c r="AB27" s="46" t="e">
        <f t="shared" si="6"/>
        <v>#DIV/0!</v>
      </c>
      <c r="AC27" s="46" t="e">
        <f t="shared" si="6"/>
        <v>#DIV/0!</v>
      </c>
      <c r="AD27" s="46" t="e">
        <f t="shared" si="6"/>
        <v>#DIV/0!</v>
      </c>
      <c r="AE27" s="46" t="e">
        <f t="shared" si="6"/>
        <v>#DIV/0!</v>
      </c>
      <c r="AF27" s="46" t="e">
        <f t="shared" si="6"/>
        <v>#DIV/0!</v>
      </c>
      <c r="AG27" s="46" t="e">
        <f t="shared" si="6"/>
        <v>#DIV/0!</v>
      </c>
      <c r="AH27" s="47" t="e">
        <f t="shared" si="6"/>
        <v>#DIV/0!</v>
      </c>
      <c r="AI27" s="27"/>
    </row>
    <row r="28" spans="2:35" hidden="1" outlineLevel="1" x14ac:dyDescent="0.5">
      <c r="B28" s="9"/>
      <c r="C28" s="48" t="s">
        <v>25</v>
      </c>
      <c r="D28" s="49">
        <v>1</v>
      </c>
      <c r="E28" s="49" t="e">
        <f>D28*(1+E25)</f>
        <v>#DIV/0!</v>
      </c>
      <c r="F28" s="49" t="e">
        <f>E28*(1+F25)</f>
        <v>#DIV/0!</v>
      </c>
      <c r="G28" s="49" t="e">
        <f>F28*(1+G25)</f>
        <v>#DIV/0!</v>
      </c>
      <c r="H28" s="49" t="e">
        <f>G28*(1+H25)</f>
        <v>#DIV/0!</v>
      </c>
      <c r="I28" s="70" t="e">
        <f>H28*(1+I25)</f>
        <v>#DIV/0!</v>
      </c>
      <c r="J28" s="70"/>
      <c r="K28" s="49" t="e">
        <f>I28*(1+K25)</f>
        <v>#DIV/0!</v>
      </c>
      <c r="L28" s="49" t="e">
        <f t="shared" ref="L28:AH28" si="7">K28*(1+L25)</f>
        <v>#DIV/0!</v>
      </c>
      <c r="M28" s="49" t="e">
        <f t="shared" si="7"/>
        <v>#DIV/0!</v>
      </c>
      <c r="N28" s="49" t="e">
        <f t="shared" si="7"/>
        <v>#DIV/0!</v>
      </c>
      <c r="O28" s="49" t="e">
        <f t="shared" si="7"/>
        <v>#DIV/0!</v>
      </c>
      <c r="P28" s="49" t="e">
        <f t="shared" si="7"/>
        <v>#DIV/0!</v>
      </c>
      <c r="Q28" s="49" t="e">
        <f t="shared" si="7"/>
        <v>#DIV/0!</v>
      </c>
      <c r="R28" s="49" t="e">
        <f t="shared" si="7"/>
        <v>#DIV/0!</v>
      </c>
      <c r="S28" s="49" t="e">
        <f t="shared" si="7"/>
        <v>#DIV/0!</v>
      </c>
      <c r="T28" s="49" t="e">
        <f t="shared" si="7"/>
        <v>#DIV/0!</v>
      </c>
      <c r="U28" s="49" t="e">
        <f t="shared" si="7"/>
        <v>#DIV/0!</v>
      </c>
      <c r="V28" s="49" t="e">
        <f t="shared" si="7"/>
        <v>#DIV/0!</v>
      </c>
      <c r="W28" s="49" t="e">
        <f t="shared" si="7"/>
        <v>#DIV/0!</v>
      </c>
      <c r="X28" s="49" t="e">
        <f t="shared" si="7"/>
        <v>#DIV/0!</v>
      </c>
      <c r="Y28" s="49" t="e">
        <f t="shared" si="7"/>
        <v>#DIV/0!</v>
      </c>
      <c r="Z28" s="49" t="e">
        <f t="shared" si="7"/>
        <v>#DIV/0!</v>
      </c>
      <c r="AA28" s="49" t="e">
        <f t="shared" si="7"/>
        <v>#DIV/0!</v>
      </c>
      <c r="AB28" s="49" t="e">
        <f t="shared" si="7"/>
        <v>#DIV/0!</v>
      </c>
      <c r="AC28" s="49" t="e">
        <f t="shared" si="7"/>
        <v>#DIV/0!</v>
      </c>
      <c r="AD28" s="49" t="e">
        <f t="shared" si="7"/>
        <v>#DIV/0!</v>
      </c>
      <c r="AE28" s="49" t="e">
        <f t="shared" si="7"/>
        <v>#DIV/0!</v>
      </c>
      <c r="AF28" s="49" t="e">
        <f t="shared" si="7"/>
        <v>#DIV/0!</v>
      </c>
      <c r="AG28" s="49" t="e">
        <f t="shared" si="7"/>
        <v>#DIV/0!</v>
      </c>
      <c r="AH28" s="50" t="e">
        <f t="shared" si="7"/>
        <v>#DIV/0!</v>
      </c>
      <c r="AI28" s="27"/>
    </row>
    <row r="29" spans="2:35" collapsed="1" x14ac:dyDescent="0.5">
      <c r="B29" s="9"/>
      <c r="C29" s="51" t="s">
        <v>12</v>
      </c>
      <c r="D29" s="52">
        <f t="shared" ref="D29:I29" si="8">D28-1</f>
        <v>0</v>
      </c>
      <c r="E29" s="53" t="e">
        <f t="shared" si="8"/>
        <v>#DIV/0!</v>
      </c>
      <c r="F29" s="53" t="e">
        <f t="shared" si="8"/>
        <v>#DIV/0!</v>
      </c>
      <c r="G29" s="53" t="e">
        <f t="shared" si="8"/>
        <v>#DIV/0!</v>
      </c>
      <c r="H29" s="53" t="e">
        <f t="shared" si="8"/>
        <v>#DIV/0!</v>
      </c>
      <c r="I29" s="69" t="e">
        <f t="shared" si="8"/>
        <v>#DIV/0!</v>
      </c>
      <c r="J29" s="69"/>
      <c r="K29" s="53" t="e">
        <f t="shared" ref="K29:AH29" si="9">K28-1</f>
        <v>#DIV/0!</v>
      </c>
      <c r="L29" s="53" t="e">
        <f t="shared" si="9"/>
        <v>#DIV/0!</v>
      </c>
      <c r="M29" s="53" t="e">
        <f t="shared" si="9"/>
        <v>#DIV/0!</v>
      </c>
      <c r="N29" s="53" t="e">
        <f t="shared" si="9"/>
        <v>#DIV/0!</v>
      </c>
      <c r="O29" s="53" t="e">
        <f t="shared" si="9"/>
        <v>#DIV/0!</v>
      </c>
      <c r="P29" s="53" t="e">
        <f t="shared" si="9"/>
        <v>#DIV/0!</v>
      </c>
      <c r="Q29" s="53" t="e">
        <f t="shared" si="9"/>
        <v>#DIV/0!</v>
      </c>
      <c r="R29" s="53" t="e">
        <f t="shared" si="9"/>
        <v>#DIV/0!</v>
      </c>
      <c r="S29" s="53" t="e">
        <f t="shared" si="9"/>
        <v>#DIV/0!</v>
      </c>
      <c r="T29" s="53" t="e">
        <f t="shared" si="9"/>
        <v>#DIV/0!</v>
      </c>
      <c r="U29" s="53" t="e">
        <f t="shared" si="9"/>
        <v>#DIV/0!</v>
      </c>
      <c r="V29" s="53" t="e">
        <f t="shared" si="9"/>
        <v>#DIV/0!</v>
      </c>
      <c r="W29" s="53" t="e">
        <f t="shared" si="9"/>
        <v>#DIV/0!</v>
      </c>
      <c r="X29" s="53" t="e">
        <f t="shared" si="9"/>
        <v>#DIV/0!</v>
      </c>
      <c r="Y29" s="53" t="e">
        <f t="shared" si="9"/>
        <v>#DIV/0!</v>
      </c>
      <c r="Z29" s="53" t="e">
        <f t="shared" si="9"/>
        <v>#DIV/0!</v>
      </c>
      <c r="AA29" s="53" t="e">
        <f t="shared" si="9"/>
        <v>#DIV/0!</v>
      </c>
      <c r="AB29" s="53" t="e">
        <f t="shared" si="9"/>
        <v>#DIV/0!</v>
      </c>
      <c r="AC29" s="53" t="e">
        <f t="shared" si="9"/>
        <v>#DIV/0!</v>
      </c>
      <c r="AD29" s="53" t="e">
        <f t="shared" si="9"/>
        <v>#DIV/0!</v>
      </c>
      <c r="AE29" s="53" t="e">
        <f t="shared" si="9"/>
        <v>#DIV/0!</v>
      </c>
      <c r="AF29" s="53" t="e">
        <f t="shared" si="9"/>
        <v>#DIV/0!</v>
      </c>
      <c r="AG29" s="53" t="e">
        <f t="shared" si="9"/>
        <v>#DIV/0!</v>
      </c>
      <c r="AH29" s="54" t="e">
        <f t="shared" si="9"/>
        <v>#DIV/0!</v>
      </c>
      <c r="AI29" s="27"/>
    </row>
    <row r="30" spans="2:35" hidden="1" outlineLevel="1" x14ac:dyDescent="0.5">
      <c r="B30" s="9"/>
      <c r="C30" s="48" t="s">
        <v>32</v>
      </c>
      <c r="D30" s="55">
        <v>1</v>
      </c>
      <c r="E30" s="49">
        <f>D30*(1+E26)</f>
        <v>1.008</v>
      </c>
      <c r="F30" s="49">
        <f t="shared" ref="F30:H30" si="10">E30*(1+F26)</f>
        <v>1.0163663999999999</v>
      </c>
      <c r="G30" s="49">
        <f t="shared" si="10"/>
        <v>1.0254120609599997</v>
      </c>
      <c r="H30" s="49">
        <f t="shared" si="10"/>
        <v>1.0339229810659676</v>
      </c>
      <c r="I30" s="76">
        <f>H30*(1+I26)</f>
        <v>1.0420909726163887</v>
      </c>
      <c r="J30" s="76"/>
      <c r="K30" s="49">
        <f>I30*(1+K26)</f>
        <v>1.0515740004671981</v>
      </c>
      <c r="L30" s="43">
        <f>K30*(1+L26)</f>
        <v>1.0607226942712626</v>
      </c>
      <c r="M30" s="43">
        <f t="shared" ref="M30:AH30" si="11">L30*(1+M26)</f>
        <v>1.0696327649031412</v>
      </c>
      <c r="N30" s="43">
        <f t="shared" si="11"/>
        <v>1.0795803496167404</v>
      </c>
      <c r="O30" s="43">
        <f t="shared" si="11"/>
        <v>1.0881090343787128</v>
      </c>
      <c r="P30" s="43">
        <f t="shared" si="11"/>
        <v>1.0982284483984348</v>
      </c>
      <c r="Q30" s="43">
        <f t="shared" si="11"/>
        <v>1.109320555727259</v>
      </c>
      <c r="R30" s="43">
        <f t="shared" si="11"/>
        <v>1.1203028292289587</v>
      </c>
      <c r="S30" s="43">
        <f t="shared" si="11"/>
        <v>1.1310577363895569</v>
      </c>
      <c r="T30" s="43">
        <f t="shared" si="11"/>
        <v>1.1430469483952861</v>
      </c>
      <c r="U30" s="43">
        <f t="shared" si="11"/>
        <v>1.1560776836069924</v>
      </c>
      <c r="V30" s="43">
        <f t="shared" si="11"/>
        <v>1.1687945381266691</v>
      </c>
      <c r="W30" s="43">
        <f t="shared" si="11"/>
        <v>1.1837551082146904</v>
      </c>
      <c r="X30" s="43">
        <f t="shared" si="11"/>
        <v>1.1974866674699809</v>
      </c>
      <c r="Y30" s="43">
        <f t="shared" si="11"/>
        <v>1.2120960048131146</v>
      </c>
      <c r="Z30" s="43">
        <f t="shared" si="11"/>
        <v>1.2276108336747225</v>
      </c>
      <c r="AA30" s="43">
        <f t="shared" si="11"/>
        <v>1.2343626932599334</v>
      </c>
      <c r="AB30" s="43">
        <f t="shared" si="11"/>
        <v>1.2494219181177046</v>
      </c>
      <c r="AC30" s="43">
        <f t="shared" si="11"/>
        <v>1.2639152123678701</v>
      </c>
      <c r="AD30" s="43">
        <f t="shared" si="11"/>
        <v>1.2765543644915487</v>
      </c>
      <c r="AE30" s="43">
        <f t="shared" si="11"/>
        <v>1.2920006723018964</v>
      </c>
      <c r="AF30" s="43" t="e">
        <f t="shared" si="11"/>
        <v>#N/A</v>
      </c>
      <c r="AG30" s="43" t="e">
        <f t="shared" si="11"/>
        <v>#N/A</v>
      </c>
      <c r="AH30" s="44" t="e">
        <f t="shared" si="11"/>
        <v>#N/A</v>
      </c>
      <c r="AI30" s="27"/>
    </row>
    <row r="31" spans="2:35" collapsed="1" x14ac:dyDescent="0.5">
      <c r="B31" s="9"/>
      <c r="C31" s="51" t="s">
        <v>31</v>
      </c>
      <c r="D31" s="52">
        <f>D30-1</f>
        <v>0</v>
      </c>
      <c r="E31" s="53" t="e">
        <f>E29/(E30-1)</f>
        <v>#DIV/0!</v>
      </c>
      <c r="F31" s="53" t="e">
        <f t="shared" ref="F31:H31" si="12">F29/(F30-1)</f>
        <v>#DIV/0!</v>
      </c>
      <c r="G31" s="53" t="e">
        <f t="shared" si="12"/>
        <v>#DIV/0!</v>
      </c>
      <c r="H31" s="53" t="e">
        <f t="shared" si="12"/>
        <v>#DIV/0!</v>
      </c>
      <c r="I31" s="69" t="e">
        <f>I29/(I30-1)</f>
        <v>#DIV/0!</v>
      </c>
      <c r="J31" s="69"/>
      <c r="K31" s="53" t="e">
        <f t="shared" ref="K31" si="13">K29/(K30-1)</f>
        <v>#DIV/0!</v>
      </c>
      <c r="L31" s="53" t="e">
        <f t="shared" ref="L31" si="14">L29/(L30-1)</f>
        <v>#DIV/0!</v>
      </c>
      <c r="M31" s="53" t="e">
        <f t="shared" ref="M31" si="15">M29/(M30-1)</f>
        <v>#DIV/0!</v>
      </c>
      <c r="N31" s="53" t="e">
        <f t="shared" ref="N31" si="16">N29/(N30-1)</f>
        <v>#DIV/0!</v>
      </c>
      <c r="O31" s="53" t="e">
        <f t="shared" ref="O31" si="17">O29/(O30-1)</f>
        <v>#DIV/0!</v>
      </c>
      <c r="P31" s="53" t="e">
        <f t="shared" ref="P31" si="18">P29/(P30-1)</f>
        <v>#DIV/0!</v>
      </c>
      <c r="Q31" s="53" t="e">
        <f t="shared" ref="Q31" si="19">Q29/(Q30-1)</f>
        <v>#DIV/0!</v>
      </c>
      <c r="R31" s="53" t="e">
        <f t="shared" ref="R31" si="20">R29/(R30-1)</f>
        <v>#DIV/0!</v>
      </c>
      <c r="S31" s="53" t="e">
        <f t="shared" ref="S31" si="21">S29/(S30-1)</f>
        <v>#DIV/0!</v>
      </c>
      <c r="T31" s="53" t="e">
        <f t="shared" ref="T31" si="22">T29/(T30-1)</f>
        <v>#DIV/0!</v>
      </c>
      <c r="U31" s="53" t="e">
        <f t="shared" ref="U31" si="23">U29/(U30-1)</f>
        <v>#DIV/0!</v>
      </c>
      <c r="V31" s="53" t="e">
        <f t="shared" ref="V31" si="24">V29/(V30-1)</f>
        <v>#DIV/0!</v>
      </c>
      <c r="W31" s="53" t="e">
        <f t="shared" ref="W31" si="25">W29/(W30-1)</f>
        <v>#DIV/0!</v>
      </c>
      <c r="X31" s="53" t="e">
        <f t="shared" ref="X31" si="26">X29/(X30-1)</f>
        <v>#DIV/0!</v>
      </c>
      <c r="Y31" s="53" t="e">
        <f t="shared" ref="Y31" si="27">Y29/(Y30-1)</f>
        <v>#DIV/0!</v>
      </c>
      <c r="Z31" s="53" t="e">
        <f t="shared" ref="Z31" si="28">Z29/(Z30-1)</f>
        <v>#DIV/0!</v>
      </c>
      <c r="AA31" s="53" t="e">
        <f t="shared" ref="AA31" si="29">AA29/(AA30-1)</f>
        <v>#DIV/0!</v>
      </c>
      <c r="AB31" s="53" t="e">
        <f t="shared" ref="AB31" si="30">AB29/(AB30-1)</f>
        <v>#DIV/0!</v>
      </c>
      <c r="AC31" s="53" t="e">
        <f t="shared" ref="AC31" si="31">AC29/(AC30-1)</f>
        <v>#DIV/0!</v>
      </c>
      <c r="AD31" s="53" t="e">
        <f t="shared" ref="AD31" si="32">AD29/(AD30-1)</f>
        <v>#DIV/0!</v>
      </c>
      <c r="AE31" s="53" t="e">
        <f t="shared" ref="AE31" si="33">AE29/(AE30-1)</f>
        <v>#DIV/0!</v>
      </c>
      <c r="AF31" s="53" t="e">
        <f t="shared" ref="AF31" si="34">AF29/(AF30-1)</f>
        <v>#DIV/0!</v>
      </c>
      <c r="AG31" s="53" t="e">
        <f t="shared" ref="AG31" si="35">AG29/(AG30-1)</f>
        <v>#DIV/0!</v>
      </c>
      <c r="AH31" s="54" t="e">
        <f t="shared" ref="AH31" si="36">AH29/(AH30-1)</f>
        <v>#DIV/0!</v>
      </c>
      <c r="AI31" s="27"/>
    </row>
    <row r="32" spans="2:35" ht="5" customHeight="1" x14ac:dyDescent="0.5">
      <c r="B32" s="56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8"/>
    </row>
    <row r="33" spans="1:36" ht="10" customHeight="1" x14ac:dyDescent="0.5">
      <c r="AJ33" s="4" t="s">
        <v>13</v>
      </c>
    </row>
    <row r="34" spans="1:36" ht="5" customHeight="1" x14ac:dyDescent="0.5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8"/>
    </row>
    <row r="35" spans="1:36" x14ac:dyDescent="0.5">
      <c r="A35" s="4" t="s">
        <v>13</v>
      </c>
      <c r="B35" s="9"/>
      <c r="C35" s="24" t="s">
        <v>0</v>
      </c>
      <c r="D35" s="25"/>
      <c r="E35" s="25"/>
      <c r="F35" s="25"/>
      <c r="G35" s="25"/>
      <c r="H35" s="25"/>
      <c r="I35" s="68"/>
      <c r="J35" s="68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6"/>
      <c r="AI35" s="27"/>
    </row>
    <row r="36" spans="1:36" ht="2" customHeight="1" x14ac:dyDescent="0.5">
      <c r="B36" s="9"/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30"/>
      <c r="AI36" s="27"/>
    </row>
    <row r="37" spans="1:36" x14ac:dyDescent="0.5">
      <c r="B37" s="9"/>
      <c r="C37" s="51" t="s">
        <v>8</v>
      </c>
      <c r="D37" s="59">
        <f>D18</f>
        <v>45292</v>
      </c>
      <c r="E37" s="59">
        <f>EDATE(D37,1)</f>
        <v>45323</v>
      </c>
      <c r="F37" s="59">
        <f t="shared" ref="F37:I37" si="37">EDATE(E37,1)</f>
        <v>45352</v>
      </c>
      <c r="G37" s="59">
        <f t="shared" si="37"/>
        <v>45383</v>
      </c>
      <c r="H37" s="59">
        <f t="shared" si="37"/>
        <v>45413</v>
      </c>
      <c r="I37" s="67">
        <f t="shared" si="37"/>
        <v>45444</v>
      </c>
      <c r="J37" s="67"/>
      <c r="K37" s="59">
        <f>EDATE(I37,1)</f>
        <v>45474</v>
      </c>
      <c r="L37" s="59">
        <f t="shared" ref="L37:AF37" si="38">EDATE(K37,1)</f>
        <v>45505</v>
      </c>
      <c r="M37" s="59">
        <f t="shared" si="38"/>
        <v>45536</v>
      </c>
      <c r="N37" s="59">
        <f t="shared" si="38"/>
        <v>45566</v>
      </c>
      <c r="O37" s="59">
        <f t="shared" si="38"/>
        <v>45597</v>
      </c>
      <c r="P37" s="59">
        <f t="shared" si="38"/>
        <v>45627</v>
      </c>
      <c r="Q37" s="59">
        <f t="shared" si="38"/>
        <v>45658</v>
      </c>
      <c r="R37" s="59">
        <f t="shared" si="38"/>
        <v>45689</v>
      </c>
      <c r="S37" s="59">
        <f t="shared" si="38"/>
        <v>45717</v>
      </c>
      <c r="T37" s="59">
        <f t="shared" si="38"/>
        <v>45748</v>
      </c>
      <c r="U37" s="59">
        <f t="shared" si="38"/>
        <v>45778</v>
      </c>
      <c r="V37" s="59">
        <f t="shared" si="38"/>
        <v>45809</v>
      </c>
      <c r="W37" s="59">
        <f t="shared" si="38"/>
        <v>45839</v>
      </c>
      <c r="X37" s="59">
        <f t="shared" si="38"/>
        <v>45870</v>
      </c>
      <c r="Y37" s="59">
        <f t="shared" si="38"/>
        <v>45901</v>
      </c>
      <c r="Z37" s="59">
        <f t="shared" si="38"/>
        <v>45931</v>
      </c>
      <c r="AA37" s="59">
        <f t="shared" si="38"/>
        <v>45962</v>
      </c>
      <c r="AB37" s="59">
        <f t="shared" si="38"/>
        <v>45992</v>
      </c>
      <c r="AC37" s="59">
        <f t="shared" si="38"/>
        <v>46023</v>
      </c>
      <c r="AD37" s="59">
        <f t="shared" si="38"/>
        <v>46054</v>
      </c>
      <c r="AE37" s="59">
        <f t="shared" si="38"/>
        <v>46082</v>
      </c>
      <c r="AF37" s="59">
        <f t="shared" si="38"/>
        <v>46113</v>
      </c>
      <c r="AG37" s="59">
        <f t="shared" ref="AG37" si="39">EDATE(AF37,1)</f>
        <v>46143</v>
      </c>
      <c r="AH37" s="60">
        <f t="shared" ref="AH37" si="40">EDATE(AG37,1)</f>
        <v>46174</v>
      </c>
      <c r="AI37" s="27"/>
    </row>
    <row r="38" spans="1:36" x14ac:dyDescent="0.5">
      <c r="B38" s="9"/>
      <c r="C38" s="37" t="s">
        <v>14</v>
      </c>
      <c r="D38" s="38"/>
      <c r="E38" s="38"/>
      <c r="F38" s="38"/>
      <c r="G38" s="38"/>
      <c r="H38" s="38"/>
      <c r="I38" s="73"/>
      <c r="J38" s="73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9"/>
      <c r="AI38" s="27"/>
    </row>
    <row r="39" spans="1:36" x14ac:dyDescent="0.5">
      <c r="B39" s="9"/>
      <c r="C39" s="37" t="s">
        <v>27</v>
      </c>
      <c r="D39" s="38">
        <f>D41+D43</f>
        <v>0</v>
      </c>
      <c r="E39" s="38">
        <f t="shared" ref="E39:AH39" si="41">E41+E43</f>
        <v>0</v>
      </c>
      <c r="F39" s="38">
        <f t="shared" si="41"/>
        <v>0</v>
      </c>
      <c r="G39" s="38">
        <f t="shared" si="41"/>
        <v>0</v>
      </c>
      <c r="H39" s="38">
        <f t="shared" si="41"/>
        <v>0</v>
      </c>
      <c r="I39" s="38">
        <f t="shared" si="41"/>
        <v>0</v>
      </c>
      <c r="J39" s="38">
        <f t="shared" si="41"/>
        <v>0</v>
      </c>
      <c r="K39" s="38">
        <f t="shared" si="41"/>
        <v>0</v>
      </c>
      <c r="L39" s="38">
        <f t="shared" si="41"/>
        <v>0</v>
      </c>
      <c r="M39" s="38">
        <f t="shared" si="41"/>
        <v>0</v>
      </c>
      <c r="N39" s="38">
        <f t="shared" si="41"/>
        <v>0</v>
      </c>
      <c r="O39" s="38">
        <f t="shared" si="41"/>
        <v>0</v>
      </c>
      <c r="P39" s="38">
        <f t="shared" si="41"/>
        <v>0</v>
      </c>
      <c r="Q39" s="38">
        <f t="shared" si="41"/>
        <v>0</v>
      </c>
      <c r="R39" s="38">
        <f t="shared" si="41"/>
        <v>0</v>
      </c>
      <c r="S39" s="38">
        <f t="shared" si="41"/>
        <v>0</v>
      </c>
      <c r="T39" s="38">
        <f t="shared" si="41"/>
        <v>0</v>
      </c>
      <c r="U39" s="38">
        <f t="shared" si="41"/>
        <v>0</v>
      </c>
      <c r="V39" s="38">
        <f t="shared" si="41"/>
        <v>0</v>
      </c>
      <c r="W39" s="38">
        <f t="shared" ref="W39" si="42">W41+W43</f>
        <v>0</v>
      </c>
      <c r="X39" s="38">
        <f t="shared" ref="X39" si="43">X41+X43</f>
        <v>0</v>
      </c>
      <c r="Y39" s="38">
        <f t="shared" ref="Y39" si="44">Y41+Y43</f>
        <v>0</v>
      </c>
      <c r="Z39" s="38">
        <f t="shared" ref="Z39" si="45">Z41+Z43</f>
        <v>0</v>
      </c>
      <c r="AA39" s="38">
        <f t="shared" ref="AA39" si="46">AA41+AA43</f>
        <v>0</v>
      </c>
      <c r="AB39" s="38">
        <f t="shared" ref="AB39" si="47">AB41+AB43</f>
        <v>0</v>
      </c>
      <c r="AC39" s="38">
        <f t="shared" ref="AC39" si="48">AC41+AC43</f>
        <v>0</v>
      </c>
      <c r="AD39" s="38">
        <f t="shared" ref="AD39" si="49">AD41+AD43</f>
        <v>0</v>
      </c>
      <c r="AE39" s="38">
        <f t="shared" ref="AE39" si="50">AE41+AE43</f>
        <v>0</v>
      </c>
      <c r="AF39" s="38">
        <f t="shared" ref="AF39" si="51">AF41+AF43</f>
        <v>0</v>
      </c>
      <c r="AG39" s="38">
        <f t="shared" si="41"/>
        <v>0</v>
      </c>
      <c r="AH39" s="39">
        <f t="shared" si="41"/>
        <v>0</v>
      </c>
      <c r="AI39" s="27"/>
    </row>
    <row r="40" spans="1:36" x14ac:dyDescent="0.5">
      <c r="B40" s="9"/>
      <c r="C40" s="37" t="s">
        <v>28</v>
      </c>
      <c r="D40" s="38" t="e">
        <f>D39/D38</f>
        <v>#DIV/0!</v>
      </c>
      <c r="E40" s="38" t="e">
        <f t="shared" ref="E40:AH40" si="52">E39/E38</f>
        <v>#DIV/0!</v>
      </c>
      <c r="F40" s="38" t="e">
        <f t="shared" si="52"/>
        <v>#DIV/0!</v>
      </c>
      <c r="G40" s="38" t="e">
        <f t="shared" si="52"/>
        <v>#DIV/0!</v>
      </c>
      <c r="H40" s="38" t="e">
        <f t="shared" si="52"/>
        <v>#DIV/0!</v>
      </c>
      <c r="I40" s="38" t="e">
        <f t="shared" si="52"/>
        <v>#DIV/0!</v>
      </c>
      <c r="J40" s="38" t="e">
        <f t="shared" si="52"/>
        <v>#DIV/0!</v>
      </c>
      <c r="K40" s="38" t="e">
        <f t="shared" si="52"/>
        <v>#DIV/0!</v>
      </c>
      <c r="L40" s="38" t="e">
        <f t="shared" si="52"/>
        <v>#DIV/0!</v>
      </c>
      <c r="M40" s="38" t="e">
        <f t="shared" si="52"/>
        <v>#DIV/0!</v>
      </c>
      <c r="N40" s="38" t="e">
        <f t="shared" si="52"/>
        <v>#DIV/0!</v>
      </c>
      <c r="O40" s="38" t="e">
        <f t="shared" si="52"/>
        <v>#DIV/0!</v>
      </c>
      <c r="P40" s="38" t="e">
        <f t="shared" si="52"/>
        <v>#DIV/0!</v>
      </c>
      <c r="Q40" s="38" t="e">
        <f t="shared" si="52"/>
        <v>#DIV/0!</v>
      </c>
      <c r="R40" s="38" t="e">
        <f t="shared" si="52"/>
        <v>#DIV/0!</v>
      </c>
      <c r="S40" s="38" t="e">
        <f t="shared" si="52"/>
        <v>#DIV/0!</v>
      </c>
      <c r="T40" s="38" t="e">
        <f t="shared" si="52"/>
        <v>#DIV/0!</v>
      </c>
      <c r="U40" s="38" t="e">
        <f t="shared" si="52"/>
        <v>#DIV/0!</v>
      </c>
      <c r="V40" s="38" t="e">
        <f t="shared" si="52"/>
        <v>#DIV/0!</v>
      </c>
      <c r="W40" s="38" t="e">
        <f t="shared" si="52"/>
        <v>#DIV/0!</v>
      </c>
      <c r="X40" s="38" t="e">
        <f t="shared" si="52"/>
        <v>#DIV/0!</v>
      </c>
      <c r="Y40" s="38" t="e">
        <f t="shared" si="52"/>
        <v>#DIV/0!</v>
      </c>
      <c r="Z40" s="38" t="e">
        <f t="shared" si="52"/>
        <v>#DIV/0!</v>
      </c>
      <c r="AA40" s="38" t="e">
        <f t="shared" si="52"/>
        <v>#DIV/0!</v>
      </c>
      <c r="AB40" s="38" t="e">
        <f t="shared" si="52"/>
        <v>#DIV/0!</v>
      </c>
      <c r="AC40" s="38" t="e">
        <f t="shared" si="52"/>
        <v>#DIV/0!</v>
      </c>
      <c r="AD40" s="38" t="e">
        <f t="shared" si="52"/>
        <v>#DIV/0!</v>
      </c>
      <c r="AE40" s="38" t="e">
        <f t="shared" si="52"/>
        <v>#DIV/0!</v>
      </c>
      <c r="AF40" s="38" t="e">
        <f t="shared" si="52"/>
        <v>#DIV/0!</v>
      </c>
      <c r="AG40" s="38" t="e">
        <f t="shared" si="52"/>
        <v>#DIV/0!</v>
      </c>
      <c r="AH40" s="39" t="e">
        <f t="shared" si="52"/>
        <v>#DIV/0!</v>
      </c>
      <c r="AI40" s="27"/>
    </row>
    <row r="41" spans="1:36" x14ac:dyDescent="0.5">
      <c r="B41" s="9"/>
      <c r="C41" s="37" t="s">
        <v>15</v>
      </c>
      <c r="D41" s="38"/>
      <c r="E41" s="38"/>
      <c r="F41" s="38"/>
      <c r="G41" s="38"/>
      <c r="H41" s="38"/>
      <c r="I41" s="74"/>
      <c r="J41" s="74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9"/>
      <c r="AI41" s="27"/>
    </row>
    <row r="42" spans="1:36" x14ac:dyDescent="0.5">
      <c r="B42" s="9"/>
      <c r="C42" s="37" t="s">
        <v>19</v>
      </c>
      <c r="D42" s="61" t="e">
        <f>D41/D$38</f>
        <v>#DIV/0!</v>
      </c>
      <c r="E42" s="61" t="e">
        <f t="shared" ref="E42:K42" si="53">E41/E$38</f>
        <v>#DIV/0!</v>
      </c>
      <c r="F42" s="61" t="e">
        <f t="shared" si="53"/>
        <v>#DIV/0!</v>
      </c>
      <c r="G42" s="61" t="e">
        <f t="shared" si="53"/>
        <v>#DIV/0!</v>
      </c>
      <c r="H42" s="61" t="e">
        <f t="shared" si="53"/>
        <v>#DIV/0!</v>
      </c>
      <c r="I42" s="72" t="e">
        <f t="shared" si="53"/>
        <v>#DIV/0!</v>
      </c>
      <c r="J42" s="72"/>
      <c r="K42" s="61" t="e">
        <f t="shared" si="53"/>
        <v>#DIV/0!</v>
      </c>
      <c r="L42" s="61" t="e">
        <f t="shared" ref="L42" si="54">L41/L$38</f>
        <v>#DIV/0!</v>
      </c>
      <c r="M42" s="61" t="e">
        <f t="shared" ref="M42" si="55">M41/M$38</f>
        <v>#DIV/0!</v>
      </c>
      <c r="N42" s="61" t="e">
        <f t="shared" ref="N42" si="56">N41/N$38</f>
        <v>#DIV/0!</v>
      </c>
      <c r="O42" s="61" t="e">
        <f t="shared" ref="O42" si="57">O41/O$38</f>
        <v>#DIV/0!</v>
      </c>
      <c r="P42" s="61" t="e">
        <f t="shared" ref="P42" si="58">P41/P$38</f>
        <v>#DIV/0!</v>
      </c>
      <c r="Q42" s="61" t="e">
        <f t="shared" ref="Q42" si="59">Q41/Q$38</f>
        <v>#DIV/0!</v>
      </c>
      <c r="R42" s="61" t="e">
        <f t="shared" ref="R42" si="60">R41/R$38</f>
        <v>#DIV/0!</v>
      </c>
      <c r="S42" s="61" t="e">
        <f t="shared" ref="S42" si="61">S41/S$38</f>
        <v>#DIV/0!</v>
      </c>
      <c r="T42" s="61" t="e">
        <f t="shared" ref="T42" si="62">T41/T$38</f>
        <v>#DIV/0!</v>
      </c>
      <c r="U42" s="61" t="e">
        <f t="shared" ref="U42" si="63">U41/U$38</f>
        <v>#DIV/0!</v>
      </c>
      <c r="V42" s="61" t="e">
        <f t="shared" ref="V42" si="64">V41/V$38</f>
        <v>#DIV/0!</v>
      </c>
      <c r="W42" s="61" t="e">
        <f t="shared" ref="W42" si="65">W41/W$38</f>
        <v>#DIV/0!</v>
      </c>
      <c r="X42" s="61" t="e">
        <f t="shared" ref="X42" si="66">X41/X$38</f>
        <v>#DIV/0!</v>
      </c>
      <c r="Y42" s="61" t="e">
        <f t="shared" ref="Y42" si="67">Y41/Y$38</f>
        <v>#DIV/0!</v>
      </c>
      <c r="Z42" s="61" t="e">
        <f t="shared" ref="Z42" si="68">Z41/Z$38</f>
        <v>#DIV/0!</v>
      </c>
      <c r="AA42" s="61" t="e">
        <f t="shared" ref="AA42" si="69">AA41/AA$38</f>
        <v>#DIV/0!</v>
      </c>
      <c r="AB42" s="61" t="e">
        <f t="shared" ref="AB42" si="70">AB41/AB$38</f>
        <v>#DIV/0!</v>
      </c>
      <c r="AC42" s="61" t="e">
        <f t="shared" ref="AC42" si="71">AC41/AC$38</f>
        <v>#DIV/0!</v>
      </c>
      <c r="AD42" s="61" t="e">
        <f t="shared" ref="AD42" si="72">AD41/AD$38</f>
        <v>#DIV/0!</v>
      </c>
      <c r="AE42" s="61" t="e">
        <f t="shared" ref="AE42" si="73">AE41/AE$38</f>
        <v>#DIV/0!</v>
      </c>
      <c r="AF42" s="61" t="e">
        <f t="shared" ref="AF42" si="74">AF41/AF$38</f>
        <v>#DIV/0!</v>
      </c>
      <c r="AG42" s="61" t="e">
        <f t="shared" ref="AG42" si="75">AG41/AG$38</f>
        <v>#DIV/0!</v>
      </c>
      <c r="AH42" s="62" t="e">
        <f t="shared" ref="AH42" si="76">AH41/AH$38</f>
        <v>#DIV/0!</v>
      </c>
      <c r="AI42" s="27"/>
    </row>
    <row r="43" spans="1:36" x14ac:dyDescent="0.5">
      <c r="B43" s="9"/>
      <c r="C43" s="37" t="s">
        <v>16</v>
      </c>
      <c r="D43" s="38"/>
      <c r="E43" s="38"/>
      <c r="F43" s="38"/>
      <c r="G43" s="38"/>
      <c r="H43" s="38"/>
      <c r="I43" s="74"/>
      <c r="J43" s="74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9"/>
      <c r="AI43" s="27"/>
    </row>
    <row r="44" spans="1:36" x14ac:dyDescent="0.5">
      <c r="B44" s="9"/>
      <c r="C44" s="37" t="s">
        <v>20</v>
      </c>
      <c r="D44" s="61" t="e">
        <f>D43/D$38</f>
        <v>#DIV/0!</v>
      </c>
      <c r="E44" s="61" t="e">
        <f t="shared" ref="E44:K44" si="77">E43/E$38</f>
        <v>#DIV/0!</v>
      </c>
      <c r="F44" s="61" t="e">
        <f t="shared" si="77"/>
        <v>#DIV/0!</v>
      </c>
      <c r="G44" s="61" t="e">
        <f t="shared" si="77"/>
        <v>#DIV/0!</v>
      </c>
      <c r="H44" s="61" t="e">
        <f t="shared" si="77"/>
        <v>#DIV/0!</v>
      </c>
      <c r="I44" s="72" t="e">
        <f t="shared" si="77"/>
        <v>#DIV/0!</v>
      </c>
      <c r="J44" s="72"/>
      <c r="K44" s="61" t="e">
        <f t="shared" si="77"/>
        <v>#DIV/0!</v>
      </c>
      <c r="L44" s="61" t="e">
        <f t="shared" ref="L44" si="78">L43/L$38</f>
        <v>#DIV/0!</v>
      </c>
      <c r="M44" s="61" t="e">
        <f>M43/M$38</f>
        <v>#DIV/0!</v>
      </c>
      <c r="N44" s="61" t="e">
        <f t="shared" ref="N44" si="79">N43/N$38</f>
        <v>#DIV/0!</v>
      </c>
      <c r="O44" s="61" t="e">
        <f t="shared" ref="O44" si="80">O43/O$38</f>
        <v>#DIV/0!</v>
      </c>
      <c r="P44" s="61" t="e">
        <f t="shared" ref="P44" si="81">P43/P$38</f>
        <v>#DIV/0!</v>
      </c>
      <c r="Q44" s="61" t="e">
        <f t="shared" ref="Q44" si="82">Q43/Q$38</f>
        <v>#DIV/0!</v>
      </c>
      <c r="R44" s="61" t="e">
        <f t="shared" ref="R44" si="83">R43/R$38</f>
        <v>#DIV/0!</v>
      </c>
      <c r="S44" s="61" t="e">
        <f t="shared" ref="S44" si="84">S43/S$38</f>
        <v>#DIV/0!</v>
      </c>
      <c r="T44" s="61" t="e">
        <f t="shared" ref="T44" si="85">T43/T$38</f>
        <v>#DIV/0!</v>
      </c>
      <c r="U44" s="61" t="e">
        <f t="shared" ref="U44" si="86">U43/U$38</f>
        <v>#DIV/0!</v>
      </c>
      <c r="V44" s="61" t="e">
        <f t="shared" ref="V44" si="87">V43/V$38</f>
        <v>#DIV/0!</v>
      </c>
      <c r="W44" s="61" t="e">
        <f t="shared" ref="W44" si="88">W43/W$38</f>
        <v>#DIV/0!</v>
      </c>
      <c r="X44" s="61" t="e">
        <f t="shared" ref="X44" si="89">X43/X$38</f>
        <v>#DIV/0!</v>
      </c>
      <c r="Y44" s="61" t="e">
        <f t="shared" ref="Y44" si="90">Y43/Y$38</f>
        <v>#DIV/0!</v>
      </c>
      <c r="Z44" s="61" t="e">
        <f t="shared" ref="Z44" si="91">Z43/Z$38</f>
        <v>#DIV/0!</v>
      </c>
      <c r="AA44" s="61" t="e">
        <f t="shared" ref="AA44" si="92">AA43/AA$38</f>
        <v>#DIV/0!</v>
      </c>
      <c r="AB44" s="61" t="e">
        <f t="shared" ref="AB44" si="93">AB43/AB$38</f>
        <v>#DIV/0!</v>
      </c>
      <c r="AC44" s="61" t="e">
        <f t="shared" ref="AC44" si="94">AC43/AC$38</f>
        <v>#DIV/0!</v>
      </c>
      <c r="AD44" s="61" t="e">
        <f t="shared" ref="AD44" si="95">AD43/AD$38</f>
        <v>#DIV/0!</v>
      </c>
      <c r="AE44" s="61" t="e">
        <f t="shared" ref="AE44" si="96">AE43/AE$38</f>
        <v>#DIV/0!</v>
      </c>
      <c r="AF44" s="61" t="e">
        <f t="shared" ref="AF44" si="97">AF43/AF$38</f>
        <v>#DIV/0!</v>
      </c>
      <c r="AG44" s="61" t="e">
        <f t="shared" ref="AG44" si="98">AG43/AG$38</f>
        <v>#DIV/0!</v>
      </c>
      <c r="AH44" s="62" t="e">
        <f t="shared" ref="AH44" si="99">AH43/AH$38</f>
        <v>#DIV/0!</v>
      </c>
      <c r="AI44" s="27"/>
    </row>
    <row r="45" spans="1:36" x14ac:dyDescent="0.5">
      <c r="B45" s="9"/>
      <c r="C45" s="37" t="s">
        <v>22</v>
      </c>
      <c r="D45" s="38"/>
      <c r="E45" s="38"/>
      <c r="F45" s="38"/>
      <c r="G45" s="38"/>
      <c r="H45" s="38"/>
      <c r="I45" s="74"/>
      <c r="J45" s="74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9"/>
      <c r="AI45" s="27"/>
    </row>
    <row r="46" spans="1:36" x14ac:dyDescent="0.5">
      <c r="B46" s="9"/>
      <c r="C46" s="37" t="s">
        <v>21</v>
      </c>
      <c r="D46" s="61" t="e">
        <f>D45/D$38</f>
        <v>#DIV/0!</v>
      </c>
      <c r="E46" s="61" t="e">
        <f t="shared" ref="E46:K46" si="100">E45/E$38</f>
        <v>#DIV/0!</v>
      </c>
      <c r="F46" s="61" t="e">
        <f t="shared" si="100"/>
        <v>#DIV/0!</v>
      </c>
      <c r="G46" s="61" t="e">
        <f t="shared" si="100"/>
        <v>#DIV/0!</v>
      </c>
      <c r="H46" s="61" t="e">
        <f t="shared" si="100"/>
        <v>#DIV/0!</v>
      </c>
      <c r="I46" s="72" t="e">
        <f t="shared" si="100"/>
        <v>#DIV/0!</v>
      </c>
      <c r="J46" s="72"/>
      <c r="K46" s="61" t="e">
        <f t="shared" si="100"/>
        <v>#DIV/0!</v>
      </c>
      <c r="L46" s="61" t="e">
        <f t="shared" ref="L46" si="101">L45/L$38</f>
        <v>#DIV/0!</v>
      </c>
      <c r="M46" s="61" t="e">
        <f t="shared" ref="M46" si="102">M45/M$38</f>
        <v>#DIV/0!</v>
      </c>
      <c r="N46" s="61" t="e">
        <f t="shared" ref="N46" si="103">N45/N$38</f>
        <v>#DIV/0!</v>
      </c>
      <c r="O46" s="61" t="e">
        <f t="shared" ref="O46" si="104">O45/O$38</f>
        <v>#DIV/0!</v>
      </c>
      <c r="P46" s="61" t="e">
        <f t="shared" ref="P46" si="105">P45/P$38</f>
        <v>#DIV/0!</v>
      </c>
      <c r="Q46" s="61" t="e">
        <f t="shared" ref="Q46" si="106">Q45/Q$38</f>
        <v>#DIV/0!</v>
      </c>
      <c r="R46" s="61" t="e">
        <f t="shared" ref="R46" si="107">R45/R$38</f>
        <v>#DIV/0!</v>
      </c>
      <c r="S46" s="61" t="e">
        <f t="shared" ref="S46" si="108">S45/S$38</f>
        <v>#DIV/0!</v>
      </c>
      <c r="T46" s="61" t="e">
        <f t="shared" ref="T46" si="109">T45/T$38</f>
        <v>#DIV/0!</v>
      </c>
      <c r="U46" s="61" t="e">
        <f t="shared" ref="U46" si="110">U45/U$38</f>
        <v>#DIV/0!</v>
      </c>
      <c r="V46" s="61" t="e">
        <f t="shared" ref="V46" si="111">V45/V$38</f>
        <v>#DIV/0!</v>
      </c>
      <c r="W46" s="61" t="e">
        <f t="shared" ref="W46" si="112">W45/W$38</f>
        <v>#DIV/0!</v>
      </c>
      <c r="X46" s="61" t="e">
        <f t="shared" ref="X46" si="113">X45/X$38</f>
        <v>#DIV/0!</v>
      </c>
      <c r="Y46" s="61" t="e">
        <f t="shared" ref="Y46" si="114">Y45/Y$38</f>
        <v>#DIV/0!</v>
      </c>
      <c r="Z46" s="61" t="e">
        <f t="shared" ref="Z46" si="115">Z45/Z$38</f>
        <v>#DIV/0!</v>
      </c>
      <c r="AA46" s="61" t="e">
        <f t="shared" ref="AA46" si="116">AA45/AA$38</f>
        <v>#DIV/0!</v>
      </c>
      <c r="AB46" s="61" t="e">
        <f t="shared" ref="AB46" si="117">AB45/AB$38</f>
        <v>#DIV/0!</v>
      </c>
      <c r="AC46" s="61" t="e">
        <f t="shared" ref="AC46" si="118">AC45/AC$38</f>
        <v>#DIV/0!</v>
      </c>
      <c r="AD46" s="61" t="e">
        <f t="shared" ref="AD46" si="119">AD45/AD$38</f>
        <v>#DIV/0!</v>
      </c>
      <c r="AE46" s="61" t="e">
        <f t="shared" ref="AE46" si="120">AE45/AE$38</f>
        <v>#DIV/0!</v>
      </c>
      <c r="AF46" s="61" t="e">
        <f t="shared" ref="AF46" si="121">AF45/AF$38</f>
        <v>#DIV/0!</v>
      </c>
      <c r="AG46" s="61" t="e">
        <f t="shared" ref="AG46" si="122">AG45/AG$38</f>
        <v>#DIV/0!</v>
      </c>
      <c r="AH46" s="62" t="e">
        <f t="shared" ref="AH46" si="123">AH45/AH$38</f>
        <v>#DIV/0!</v>
      </c>
      <c r="AI46" s="27"/>
    </row>
    <row r="47" spans="1:36" x14ac:dyDescent="0.5">
      <c r="B47" s="9"/>
      <c r="C47" s="37" t="s">
        <v>17</v>
      </c>
      <c r="D47" s="38"/>
      <c r="E47" s="38"/>
      <c r="F47" s="38"/>
      <c r="G47" s="38"/>
      <c r="H47" s="38"/>
      <c r="I47" s="74"/>
      <c r="J47" s="74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9"/>
      <c r="AI47" s="27"/>
    </row>
    <row r="48" spans="1:36" x14ac:dyDescent="0.5">
      <c r="B48" s="9"/>
      <c r="C48" s="45" t="s">
        <v>23</v>
      </c>
      <c r="D48" s="63" t="e">
        <f>D47/D$38</f>
        <v>#DIV/0!</v>
      </c>
      <c r="E48" s="64" t="e">
        <f t="shared" ref="E48" si="124">E47/E$38</f>
        <v>#DIV/0!</v>
      </c>
      <c r="F48" s="64" t="e">
        <f t="shared" ref="F48" si="125">F47/F$38</f>
        <v>#DIV/0!</v>
      </c>
      <c r="G48" s="64" t="e">
        <f t="shared" ref="G48" si="126">G47/G$38</f>
        <v>#DIV/0!</v>
      </c>
      <c r="H48" s="64" t="e">
        <f t="shared" ref="H48" si="127">H47/H$38</f>
        <v>#DIV/0!</v>
      </c>
      <c r="I48" s="71" t="e">
        <f t="shared" ref="I48" si="128">I47/I$38</f>
        <v>#DIV/0!</v>
      </c>
      <c r="J48" s="71"/>
      <c r="K48" s="64" t="e">
        <f t="shared" ref="K48" si="129">K47/K$38</f>
        <v>#DIV/0!</v>
      </c>
      <c r="L48" s="64" t="e">
        <f t="shared" ref="L48" si="130">L47/L$38</f>
        <v>#DIV/0!</v>
      </c>
      <c r="M48" s="64" t="e">
        <f t="shared" ref="M48" si="131">M47/M$38</f>
        <v>#DIV/0!</v>
      </c>
      <c r="N48" s="64" t="e">
        <f t="shared" ref="N48" si="132">N47/N$38</f>
        <v>#DIV/0!</v>
      </c>
      <c r="O48" s="64" t="e">
        <f t="shared" ref="O48" si="133">O47/O$38</f>
        <v>#DIV/0!</v>
      </c>
      <c r="P48" s="64" t="e">
        <f t="shared" ref="P48" si="134">P47/P$38</f>
        <v>#DIV/0!</v>
      </c>
      <c r="Q48" s="64" t="e">
        <f t="shared" ref="Q48" si="135">Q47/Q$38</f>
        <v>#DIV/0!</v>
      </c>
      <c r="R48" s="64" t="e">
        <f t="shared" ref="R48" si="136">R47/R$38</f>
        <v>#DIV/0!</v>
      </c>
      <c r="S48" s="64" t="e">
        <f t="shared" ref="S48" si="137">S47/S$38</f>
        <v>#DIV/0!</v>
      </c>
      <c r="T48" s="64" t="e">
        <f t="shared" ref="T48" si="138">T47/T$38</f>
        <v>#DIV/0!</v>
      </c>
      <c r="U48" s="64" t="e">
        <f t="shared" ref="U48" si="139">U47/U$38</f>
        <v>#DIV/0!</v>
      </c>
      <c r="V48" s="64" t="e">
        <f t="shared" ref="V48" si="140">V47/V$38</f>
        <v>#DIV/0!</v>
      </c>
      <c r="W48" s="64" t="e">
        <f t="shared" ref="W48" si="141">W47/W$38</f>
        <v>#DIV/0!</v>
      </c>
      <c r="X48" s="64" t="e">
        <f t="shared" ref="X48" si="142">X47/X$38</f>
        <v>#DIV/0!</v>
      </c>
      <c r="Y48" s="64" t="e">
        <f t="shared" ref="Y48" si="143">Y47/Y$38</f>
        <v>#DIV/0!</v>
      </c>
      <c r="Z48" s="64" t="e">
        <f t="shared" ref="Z48" si="144">Z47/Z$38</f>
        <v>#DIV/0!</v>
      </c>
      <c r="AA48" s="64" t="e">
        <f t="shared" ref="AA48" si="145">AA47/AA$38</f>
        <v>#DIV/0!</v>
      </c>
      <c r="AB48" s="64" t="e">
        <f t="shared" ref="AB48" si="146">AB47/AB$38</f>
        <v>#DIV/0!</v>
      </c>
      <c r="AC48" s="64" t="e">
        <f t="shared" ref="AC48" si="147">AC47/AC$38</f>
        <v>#DIV/0!</v>
      </c>
      <c r="AD48" s="64" t="e">
        <f t="shared" ref="AD48" si="148">AD47/AD$38</f>
        <v>#DIV/0!</v>
      </c>
      <c r="AE48" s="64" t="e">
        <f t="shared" ref="AE48" si="149">AE47/AE$38</f>
        <v>#DIV/0!</v>
      </c>
      <c r="AF48" s="64" t="e">
        <f t="shared" ref="AF48" si="150">AF47/AF$38</f>
        <v>#DIV/0!</v>
      </c>
      <c r="AG48" s="64" t="e">
        <f t="shared" ref="AG48" si="151">AG47/AG$38</f>
        <v>#DIV/0!</v>
      </c>
      <c r="AH48" s="65" t="e">
        <f t="shared" ref="AH48" si="152">AH47/AH$38</f>
        <v>#DIV/0!</v>
      </c>
      <c r="AI48" s="27"/>
    </row>
    <row r="49" spans="1:36" ht="5" customHeight="1" x14ac:dyDescent="0.5">
      <c r="B49" s="56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8"/>
    </row>
    <row r="50" spans="1:36" x14ac:dyDescent="0.5">
      <c r="A50" s="4" t="s">
        <v>13</v>
      </c>
      <c r="AJ50" s="4" t="s">
        <v>13</v>
      </c>
    </row>
    <row r="51" spans="1:36" x14ac:dyDescent="0.5"/>
    <row r="52" spans="1:36" x14ac:dyDescent="0.5"/>
    <row r="53" spans="1:36" x14ac:dyDescent="0.5"/>
    <row r="54" spans="1:36" x14ac:dyDescent="0.5"/>
    <row r="55" spans="1:36" x14ac:dyDescent="0.5"/>
    <row r="56" spans="1:36" x14ac:dyDescent="0.5"/>
    <row r="57" spans="1:36" x14ac:dyDescent="0.5"/>
    <row r="58" spans="1:36" x14ac:dyDescent="0.5"/>
    <row r="59" spans="1:36" x14ac:dyDescent="0.5"/>
    <row r="60" spans="1:36" x14ac:dyDescent="0.5"/>
    <row r="61" spans="1:36" x14ac:dyDescent="0.5"/>
    <row r="62" spans="1:36" x14ac:dyDescent="0.5"/>
    <row r="63" spans="1:36" x14ac:dyDescent="0.5"/>
    <row r="64" spans="1:36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</sheetData>
  <mergeCells count="34">
    <mergeCell ref="C3:I8"/>
    <mergeCell ref="I18:J18"/>
    <mergeCell ref="I16:J16"/>
    <mergeCell ref="D10:F10"/>
    <mergeCell ref="D11:F11"/>
    <mergeCell ref="H10:I10"/>
    <mergeCell ref="H11:I11"/>
    <mergeCell ref="D12:F12"/>
    <mergeCell ref="H12:I12"/>
    <mergeCell ref="I20:J20"/>
    <mergeCell ref="I15:J15"/>
    <mergeCell ref="I26:J26"/>
    <mergeCell ref="I30:J30"/>
    <mergeCell ref="I31:J31"/>
    <mergeCell ref="I27:J27"/>
    <mergeCell ref="I21:J21"/>
    <mergeCell ref="I22:J22"/>
    <mergeCell ref="I23:J23"/>
    <mergeCell ref="I24:J24"/>
    <mergeCell ref="I25:J25"/>
    <mergeCell ref="I19:J19"/>
    <mergeCell ref="I37:J37"/>
    <mergeCell ref="I35:J35"/>
    <mergeCell ref="I29:J29"/>
    <mergeCell ref="I28:J28"/>
    <mergeCell ref="I48:J48"/>
    <mergeCell ref="I42:J42"/>
    <mergeCell ref="I44:J44"/>
    <mergeCell ref="I46:J46"/>
    <mergeCell ref="I38:J38"/>
    <mergeCell ref="I41:J41"/>
    <mergeCell ref="I43:J43"/>
    <mergeCell ref="I45:J45"/>
    <mergeCell ref="I47:J47"/>
  </mergeCells>
  <phoneticPr fontId="2" type="noConversion"/>
  <conditionalFormatting sqref="C18:C31">
    <cfRule type="cellIs" dxfId="4" priority="6" operator="lessThan">
      <formula>0</formula>
    </cfRule>
  </conditionalFormatting>
  <conditionalFormatting sqref="C37:C48">
    <cfRule type="cellIs" dxfId="3" priority="7" operator="lessThan">
      <formula>0</formula>
    </cfRule>
  </conditionalFormatting>
  <conditionalFormatting sqref="C16:I17 K16:AH17">
    <cfRule type="cellIs" dxfId="2" priority="18" operator="lessThan">
      <formula>0</formula>
    </cfRule>
  </conditionalFormatting>
  <conditionalFormatting sqref="C35:I36 K35:AH36">
    <cfRule type="cellIs" dxfId="1" priority="1" operator="lessThan">
      <formula>0</formula>
    </cfRule>
  </conditionalFormatting>
  <conditionalFormatting sqref="D19:I31 K19:AH31">
    <cfRule type="cellIs" dxfId="0" priority="2" operator="lessThan">
      <formula>0</formula>
    </cfRule>
  </conditionalFormatting>
  <dataValidations count="1">
    <dataValidation type="list" allowBlank="1" showInputMessage="1" showErrorMessage="1" sqref="D10:F10" xr:uid="{D6CC3E16-660C-41A9-B506-5665C55100D5}">
      <formula1>"VAGNER BRAZ,FREDERICO PERIN,ALAN PAJECKI,DIOGO KALIL,N/A"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D2E1-F484-498A-A7E5-F4CC2A416702}">
  <dimension ref="B2:BA52"/>
  <sheetViews>
    <sheetView showGridLines="0" topLeftCell="A28" workbookViewId="0">
      <selection activeCell="H51" sqref="H51"/>
    </sheetView>
  </sheetViews>
  <sheetFormatPr defaultColWidth="8.90625" defaultRowHeight="14.5" x14ac:dyDescent="0.35"/>
  <cols>
    <col min="1" max="1" width="2.81640625" style="1" customWidth="1"/>
    <col min="2" max="5" width="8.90625" style="1"/>
    <col min="6" max="6" width="2.81640625" style="1" customWidth="1"/>
    <col min="7" max="53" width="10.81640625" style="1" customWidth="1"/>
    <col min="54" max="16384" width="8.90625" style="1"/>
  </cols>
  <sheetData>
    <row r="2" spans="2:53" x14ac:dyDescent="0.35">
      <c r="B2" s="2">
        <v>44562</v>
      </c>
      <c r="C2" s="3">
        <v>7.3000000000000001E-3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2:53" x14ac:dyDescent="0.35">
      <c r="B3" s="2">
        <f t="shared" ref="B3:B48" si="0">EDATE(B2,1)</f>
        <v>44593</v>
      </c>
      <c r="C3" s="3">
        <v>7.6E-3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2:53" x14ac:dyDescent="0.35">
      <c r="B4" s="2">
        <f t="shared" si="0"/>
        <v>44621</v>
      </c>
      <c r="C4" s="3">
        <v>9.300000000000001E-3</v>
      </c>
    </row>
    <row r="5" spans="2:53" x14ac:dyDescent="0.35">
      <c r="B5" s="2">
        <f t="shared" si="0"/>
        <v>44652</v>
      </c>
      <c r="C5" s="3">
        <v>8.3000000000000001E-3</v>
      </c>
    </row>
    <row r="6" spans="2:53" x14ac:dyDescent="0.35">
      <c r="B6" s="2">
        <f t="shared" si="0"/>
        <v>44682</v>
      </c>
      <c r="C6" s="3">
        <v>1.03E-2</v>
      </c>
    </row>
    <row r="7" spans="2:53" x14ac:dyDescent="0.35">
      <c r="B7" s="2">
        <f t="shared" si="0"/>
        <v>44713</v>
      </c>
      <c r="C7" s="3">
        <v>1.0200000000000001E-2</v>
      </c>
    </row>
    <row r="8" spans="2:53" x14ac:dyDescent="0.35">
      <c r="B8" s="2">
        <f t="shared" si="0"/>
        <v>44743</v>
      </c>
      <c r="C8" s="3">
        <v>1.03E-2</v>
      </c>
    </row>
    <row r="9" spans="2:53" x14ac:dyDescent="0.35">
      <c r="B9" s="2">
        <f t="shared" si="0"/>
        <v>44774</v>
      </c>
      <c r="C9" s="3">
        <v>1.1699999999999999E-2</v>
      </c>
    </row>
    <row r="10" spans="2:53" x14ac:dyDescent="0.35">
      <c r="B10" s="2">
        <f t="shared" si="0"/>
        <v>44805</v>
      </c>
      <c r="C10" s="3">
        <v>1.0700000000000001E-2</v>
      </c>
    </row>
    <row r="11" spans="2:53" x14ac:dyDescent="0.35">
      <c r="B11" s="2">
        <f t="shared" si="0"/>
        <v>44835</v>
      </c>
      <c r="C11" s="3">
        <v>1.0200000000000001E-2</v>
      </c>
    </row>
    <row r="12" spans="2:53" x14ac:dyDescent="0.35">
      <c r="B12" s="2">
        <f t="shared" si="0"/>
        <v>44866</v>
      </c>
      <c r="C12" s="3">
        <v>1.0200000000000001E-2</v>
      </c>
    </row>
    <row r="13" spans="2:53" x14ac:dyDescent="0.35">
      <c r="B13" s="2">
        <f t="shared" si="0"/>
        <v>44896</v>
      </c>
      <c r="C13" s="3">
        <v>1.1200000000000002E-2</v>
      </c>
    </row>
    <row r="14" spans="2:53" x14ac:dyDescent="0.35">
      <c r="B14" s="2">
        <f t="shared" si="0"/>
        <v>44927</v>
      </c>
      <c r="C14" s="3">
        <v>1.1200000000000002E-2</v>
      </c>
    </row>
    <row r="15" spans="2:53" x14ac:dyDescent="0.35">
      <c r="B15" s="2">
        <f t="shared" si="0"/>
        <v>44958</v>
      </c>
      <c r="C15" s="3">
        <v>9.1999999999999998E-3</v>
      </c>
    </row>
    <row r="16" spans="2:53" x14ac:dyDescent="0.35">
      <c r="B16" s="2">
        <f t="shared" si="0"/>
        <v>44986</v>
      </c>
      <c r="C16" s="3">
        <v>1.1699999999999999E-2</v>
      </c>
    </row>
    <row r="17" spans="2:3" x14ac:dyDescent="0.35">
      <c r="B17" s="2">
        <f t="shared" si="0"/>
        <v>45017</v>
      </c>
      <c r="C17" s="3">
        <v>9.1999999999999998E-3</v>
      </c>
    </row>
    <row r="18" spans="2:3" x14ac:dyDescent="0.35">
      <c r="B18" s="2">
        <f t="shared" si="0"/>
        <v>45047</v>
      </c>
      <c r="C18" s="3">
        <v>1.1200000000000002E-2</v>
      </c>
    </row>
    <row r="19" spans="2:3" x14ac:dyDescent="0.35">
      <c r="B19" s="2">
        <f t="shared" si="0"/>
        <v>45078</v>
      </c>
      <c r="C19" s="3">
        <v>1.0700000000000001E-2</v>
      </c>
    </row>
    <row r="20" spans="2:3" x14ac:dyDescent="0.35">
      <c r="B20" s="2">
        <f t="shared" si="0"/>
        <v>45108</v>
      </c>
      <c r="C20" s="3">
        <v>1.0700000000000001E-2</v>
      </c>
    </row>
    <row r="21" spans="2:3" x14ac:dyDescent="0.35">
      <c r="B21" s="2">
        <f t="shared" si="0"/>
        <v>45139</v>
      </c>
      <c r="C21" s="3">
        <v>1.1399999999999999E-2</v>
      </c>
    </row>
    <row r="22" spans="2:3" x14ac:dyDescent="0.35">
      <c r="B22" s="2">
        <f t="shared" si="0"/>
        <v>45170</v>
      </c>
      <c r="C22" s="3">
        <v>9.7000000000000003E-3</v>
      </c>
    </row>
    <row r="23" spans="2:3" x14ac:dyDescent="0.35">
      <c r="B23" s="2">
        <f t="shared" si="0"/>
        <v>45200</v>
      </c>
      <c r="C23" s="3">
        <v>0.01</v>
      </c>
    </row>
    <row r="24" spans="2:3" x14ac:dyDescent="0.35">
      <c r="B24" s="2">
        <f t="shared" si="0"/>
        <v>45231</v>
      </c>
      <c r="C24" s="3">
        <v>9.1999999999999998E-3</v>
      </c>
    </row>
    <row r="25" spans="2:3" x14ac:dyDescent="0.35">
      <c r="B25" s="2">
        <f t="shared" si="0"/>
        <v>45261</v>
      </c>
      <c r="C25" s="3">
        <v>8.8999999999999999E-3</v>
      </c>
    </row>
    <row r="26" spans="2:3" x14ac:dyDescent="0.35">
      <c r="B26" s="2">
        <f t="shared" si="0"/>
        <v>45292</v>
      </c>
      <c r="C26" s="3">
        <v>9.7000000000000003E-3</v>
      </c>
    </row>
    <row r="27" spans="2:3" x14ac:dyDescent="0.35">
      <c r="B27" s="2">
        <f t="shared" si="0"/>
        <v>45323</v>
      </c>
      <c r="C27" s="3">
        <v>8.0000000000000002E-3</v>
      </c>
    </row>
    <row r="28" spans="2:3" x14ac:dyDescent="0.35">
      <c r="B28" s="2">
        <f t="shared" si="0"/>
        <v>45352</v>
      </c>
      <c r="C28" s="3">
        <v>8.3000000000000001E-3</v>
      </c>
    </row>
    <row r="29" spans="2:3" x14ac:dyDescent="0.35">
      <c r="B29" s="2">
        <f t="shared" si="0"/>
        <v>45383</v>
      </c>
      <c r="C29" s="3">
        <v>8.8999999999999999E-3</v>
      </c>
    </row>
    <row r="30" spans="2:3" x14ac:dyDescent="0.35">
      <c r="B30" s="2">
        <f t="shared" si="0"/>
        <v>45413</v>
      </c>
      <c r="C30" s="3">
        <v>8.3000000000000001E-3</v>
      </c>
    </row>
    <row r="31" spans="2:3" x14ac:dyDescent="0.35">
      <c r="B31" s="2">
        <f t="shared" si="0"/>
        <v>45444</v>
      </c>
      <c r="C31" s="3">
        <v>7.9000000000000008E-3</v>
      </c>
    </row>
    <row r="32" spans="2:3" x14ac:dyDescent="0.35">
      <c r="B32" s="2">
        <f t="shared" si="0"/>
        <v>45474</v>
      </c>
      <c r="C32" s="3">
        <v>9.1000000000000004E-3</v>
      </c>
    </row>
    <row r="33" spans="2:3" x14ac:dyDescent="0.35">
      <c r="B33" s="2">
        <f t="shared" si="0"/>
        <v>45505</v>
      </c>
      <c r="C33" s="3">
        <v>8.6999999999999994E-3</v>
      </c>
    </row>
    <row r="34" spans="2:3" x14ac:dyDescent="0.35">
      <c r="B34" s="2">
        <f t="shared" si="0"/>
        <v>45536</v>
      </c>
      <c r="C34" s="3">
        <v>8.3999999999999995E-3</v>
      </c>
    </row>
    <row r="35" spans="2:3" x14ac:dyDescent="0.35">
      <c r="B35" s="2">
        <f t="shared" si="0"/>
        <v>45566</v>
      </c>
      <c r="C35" s="3">
        <v>9.300000000000001E-3</v>
      </c>
    </row>
    <row r="36" spans="2:3" x14ac:dyDescent="0.35">
      <c r="B36" s="2">
        <f t="shared" si="0"/>
        <v>45597</v>
      </c>
      <c r="C36" s="3">
        <v>7.9000000000000008E-3</v>
      </c>
    </row>
    <row r="37" spans="2:3" x14ac:dyDescent="0.35">
      <c r="B37" s="2">
        <f t="shared" si="0"/>
        <v>45627</v>
      </c>
      <c r="C37" s="3">
        <v>9.300000000000001E-3</v>
      </c>
    </row>
    <row r="38" spans="2:3" x14ac:dyDescent="0.35">
      <c r="B38" s="2">
        <f t="shared" si="0"/>
        <v>45658</v>
      </c>
      <c r="C38" s="3">
        <v>1.01E-2</v>
      </c>
    </row>
    <row r="39" spans="2:3" x14ac:dyDescent="0.35">
      <c r="B39" s="2">
        <f t="shared" si="0"/>
        <v>45689</v>
      </c>
      <c r="C39" s="3">
        <v>9.8999999999999991E-3</v>
      </c>
    </row>
    <row r="40" spans="2:3" x14ac:dyDescent="0.35">
      <c r="B40" s="2">
        <f t="shared" si="0"/>
        <v>45717</v>
      </c>
      <c r="C40" s="3">
        <v>9.5999999999999992E-3</v>
      </c>
    </row>
    <row r="41" spans="2:3" x14ac:dyDescent="0.35">
      <c r="B41" s="2">
        <f t="shared" si="0"/>
        <v>45748</v>
      </c>
      <c r="C41" s="3">
        <v>1.06E-2</v>
      </c>
    </row>
    <row r="42" spans="2:3" x14ac:dyDescent="0.35">
      <c r="B42" s="2">
        <f t="shared" si="0"/>
        <v>45778</v>
      </c>
      <c r="C42" s="3">
        <v>1.1399999999999999E-2</v>
      </c>
    </row>
    <row r="43" spans="2:3" x14ac:dyDescent="0.35">
      <c r="B43" s="2">
        <f t="shared" si="0"/>
        <v>45809</v>
      </c>
      <c r="C43" s="3">
        <v>1.1000000000000001E-2</v>
      </c>
    </row>
    <row r="44" spans="2:3" x14ac:dyDescent="0.35">
      <c r="B44" s="2">
        <f t="shared" si="0"/>
        <v>45839</v>
      </c>
      <c r="C44" s="3">
        <v>1.2800000000000001E-2</v>
      </c>
    </row>
    <row r="45" spans="2:3" x14ac:dyDescent="0.35">
      <c r="B45" s="2">
        <f t="shared" si="0"/>
        <v>45870</v>
      </c>
      <c r="C45" s="3">
        <v>1.1599999999999999E-2</v>
      </c>
    </row>
    <row r="46" spans="2:3" x14ac:dyDescent="0.35">
      <c r="B46" s="2">
        <f t="shared" si="0"/>
        <v>45901</v>
      </c>
      <c r="C46" s="3">
        <v>1.2199999999999999E-2</v>
      </c>
    </row>
    <row r="47" spans="2:3" x14ac:dyDescent="0.35">
      <c r="B47" s="2">
        <f t="shared" si="0"/>
        <v>45931</v>
      </c>
      <c r="C47" s="3">
        <v>1.2800000000000001E-2</v>
      </c>
    </row>
    <row r="48" spans="2:3" x14ac:dyDescent="0.35">
      <c r="B48" s="2">
        <f t="shared" si="0"/>
        <v>45962</v>
      </c>
      <c r="C48" s="3">
        <v>5.5000000000000005E-3</v>
      </c>
    </row>
    <row r="49" spans="2:3" x14ac:dyDescent="0.35">
      <c r="B49" s="2">
        <v>45992</v>
      </c>
      <c r="C49" s="66">
        <v>1.2200000000000001E-2</v>
      </c>
    </row>
    <row r="50" spans="2:3" x14ac:dyDescent="0.35">
      <c r="B50" s="2">
        <v>46023</v>
      </c>
      <c r="C50" s="66">
        <v>1.1599999999999999E-2</v>
      </c>
    </row>
    <row r="51" spans="2:3" x14ac:dyDescent="0.35">
      <c r="B51" s="2">
        <v>46054</v>
      </c>
      <c r="C51" s="66">
        <v>0.01</v>
      </c>
    </row>
    <row r="52" spans="2:3" x14ac:dyDescent="0.35">
      <c r="B52" s="2">
        <v>46082</v>
      </c>
      <c r="C52" s="66">
        <v>1.21E-2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F7C3EB97E9E74698CED59A2E1F2A3E" ma:contentTypeVersion="13" ma:contentTypeDescription="Crie um novo documento." ma:contentTypeScope="" ma:versionID="3520f56cc4907268979889006df42101">
  <xsd:schema xmlns:xsd="http://www.w3.org/2001/XMLSchema" xmlns:xs="http://www.w3.org/2001/XMLSchema" xmlns:p="http://schemas.microsoft.com/office/2006/metadata/properties" xmlns:ns2="b22dca54-2bad-4034-83f7-f1980d1c4edf" xmlns:ns3="e6e8dd55-9723-42c1-b034-16790b206da6" targetNamespace="http://schemas.microsoft.com/office/2006/metadata/properties" ma:root="true" ma:fieldsID="b8075f4dcf1e54a076fb8f8ea9444585" ns2:_="" ns3:_="">
    <xsd:import namespace="b22dca54-2bad-4034-83f7-f1980d1c4edf"/>
    <xsd:import namespace="e6e8dd55-9723-42c1-b034-16790b206d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2dca54-2bad-4034-83f7-f1980d1c4e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63b244-19e6-46f8-9842-c30de8338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8dd55-9723-42c1-b034-16790b206da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5879d08-0796-4ff2-b423-5ff239a5e5a2}" ma:internalName="TaxCatchAll" ma:showField="CatchAllData" ma:web="e6e8dd55-9723-42c1-b034-16790b206d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2dca54-2bad-4034-83f7-f1980d1c4edf">
      <Terms xmlns="http://schemas.microsoft.com/office/infopath/2007/PartnerControls"/>
    </lcf76f155ced4ddcb4097134ff3c332f>
    <TaxCatchAll xmlns="e6e8dd55-9723-42c1-b034-16790b206da6" xsi:nil="true"/>
  </documentManagement>
</p:properties>
</file>

<file path=customXml/itemProps1.xml><?xml version="1.0" encoding="utf-8"?>
<ds:datastoreItem xmlns:ds="http://schemas.openxmlformats.org/officeDocument/2006/customXml" ds:itemID="{6F4C6A2A-D282-402C-A19F-7BCC8CEC4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2dca54-2bad-4034-83f7-f1980d1c4edf"/>
    <ds:schemaRef ds:uri="e6e8dd55-9723-42c1-b034-16790b206d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A33E97-4C36-422C-8C30-0A8427347E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A628D5-D996-4365-80F4-4FEEB60B189D}">
  <ds:schemaRefs>
    <ds:schemaRef ds:uri="http://schemas.microsoft.com/office/2006/metadata/properties"/>
    <ds:schemaRef ds:uri="http://schemas.microsoft.com/office/infopath/2007/PartnerControls"/>
    <ds:schemaRef ds:uri="b22dca54-2bad-4034-83f7-f1980d1c4edf"/>
    <ds:schemaRef ds:uri="e6e8dd55-9723-42c1-b034-16790b206d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ANÁLISE FIDC</vt:lpstr>
      <vt:lpstr>CDI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Robles  Ortega Perin</dc:creator>
  <cp:lastModifiedBy>Carlos Calil Fontes Hojaij</cp:lastModifiedBy>
  <dcterms:created xsi:type="dcterms:W3CDTF">2025-05-20T13:18:23Z</dcterms:created>
  <dcterms:modified xsi:type="dcterms:W3CDTF">2026-07-21T22:21:28Z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0x01010088F7C3EB97E9E74698CED59A2E1F2A3E</vt:lpwstr>
  </property>
</Properties>
</file>